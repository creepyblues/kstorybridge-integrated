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만화가족-전체리스트" sheetId="1" r:id="rId4"/>
    <sheet state="visible" name="TVfilm mandate" sheetId="2" r:id="rId5"/>
    <sheet state="visible" name="Short-form Drama" sheetId="3" r:id="rId6"/>
    <sheet state="visible" name="en" sheetId="4"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https://vaultcomics.app.box.com/s/5myaqvco7ic39r9o2vmqz1mahg4f9p5g</t>
      </text>
    </comment>
  </commentList>
</comments>
</file>

<file path=xl/sharedStrings.xml><?xml version="1.0" encoding="utf-8"?>
<sst xmlns="http://schemas.openxmlformats.org/spreadsheetml/2006/main" count="1503" uniqueCount="838">
  <si>
    <t>작품 한글 제목</t>
  </si>
  <si>
    <t>작품 링크</t>
  </si>
  <si>
    <t>Link(English)</t>
  </si>
  <si>
    <t>작품 영문 제목</t>
  </si>
  <si>
    <t>작품 감상가능한 화일 (pdf link)</t>
  </si>
  <si>
    <r>
      <rPr>
        <rFont val="Arial"/>
        <b/>
        <color rgb="FFFF0000"/>
      </rPr>
      <t xml:space="preserve">rights
</t>
    </r>
    <r>
      <rPr>
        <rFont val="Arial"/>
        <b val="0"/>
        <color rgb="FF000000"/>
        <sz val="8.0"/>
      </rPr>
      <t>국내 영상화 판권 O/X</t>
    </r>
  </si>
  <si>
    <t>특이사항</t>
  </si>
  <si>
    <t>note</t>
  </si>
  <si>
    <t>views</t>
  </si>
  <si>
    <t>likes</t>
  </si>
  <si>
    <t>그림작가(한글)</t>
  </si>
  <si>
    <t>글작가(한글)</t>
  </si>
  <si>
    <t>원작가(한글)</t>
  </si>
  <si>
    <t>한글 시놉시스</t>
  </si>
  <si>
    <t>완결/연재</t>
  </si>
  <si>
    <t>연령</t>
  </si>
  <si>
    <t>장르</t>
  </si>
  <si>
    <t>키워드</t>
  </si>
  <si>
    <t>사랑에 번역앱이 필요한가요?</t>
  </si>
  <si>
    <t>https://page.kakao.com/home?seriesId=54100540</t>
  </si>
  <si>
    <t>Does Love Need a Translator? - Official Comics | Manta</t>
  </si>
  <si>
    <t>Does Love Need a Translator?</t>
  </si>
  <si>
    <t>카카오페이지 구독자 11만
북미 연재</t>
  </si>
  <si>
    <t>휘요</t>
  </si>
  <si>
    <t>장학금을 위해서 ‘하담’은 학점을 올리기 위해 해외 교환 메이트 케어를 신청한다. 당연히 동성끼리 진행된다는 교수의 말과 달리 학교 측의 황당한 실수로 프랑스에서 온 남자 교환 메이트 '피터 에린’과 동거하게 된다.
과연 ‘하담’과 ‘에린’은 캠퍼스에서 펼쳐지는 학점 전쟁과 언어의 장벽을 이겨내고 서로의 마음을 확인할 수 있을까?
한 지붕 아래에서 시작되는 아슬아슬한 동거 로맨스</t>
  </si>
  <si>
    <t>completed</t>
  </si>
  <si>
    <t>전체이용가</t>
  </si>
  <si>
    <t>["로맨스"]</t>
  </si>
  <si>
    <t>안녕 도깨비</t>
  </si>
  <si>
    <t>-</t>
  </si>
  <si>
    <t>Hello, Goblin - LaLatoon</t>
  </si>
  <si>
    <t>Hello, Goblin</t>
  </si>
  <si>
    <t>북미 연재</t>
  </si>
  <si>
    <t>햇지애</t>
  </si>
  <si>
    <t>여동생의 치료를 위해 시골로 내려간 분희네 가족.
평범한 줄 알았던 시골 마을은 사실 도깨비 마을이었고, 인간들의 침입을 달갑게 여기지 않은 도깨비들은 온갖 장난을 치며 분희네 가족을 내쫓으려 한다.
그러나 도깨비들의 장난에도 당찬 분희와 도깨비 강준의 도움으로 분희네 가족은 마을에 정착하고, 도깨비들과의 생활을 시작한다.</t>
  </si>
  <si>
    <t>["로맨스","판타지"]</t>
  </si>
  <si>
    <t>사장님은 투타임</t>
  </si>
  <si>
    <t>https://series.naver.com/comic/detail.series?productNo=6387504</t>
  </si>
  <si>
    <t>Double-Binded By Love | WEBTOON</t>
  </si>
  <si>
    <t>Double-Binded By Love</t>
  </si>
  <si>
    <t>일본, 북미 연재</t>
  </si>
  <si>
    <t>이삼</t>
  </si>
  <si>
    <t>Fortune King</t>
  </si>
  <si>
    <t>운명이라 불리지만 저주처럼 느껴지는 이 굴레에서 벗어나고픈 마음이 크지만, 벗어나려 할 수록 불운이 닥쳐오는 바람에 이러지도 저러지도 못하고 꼼짝없이 두 남자와 양다리를 걸치게 된 여주인공</t>
  </si>
  <si>
    <t>["로맨스","드라마","판타지"]</t>
  </si>
  <si>
    <t>이로운 변태</t>
  </si>
  <si>
    <t>https://page.kakao.com/content/54589870</t>
  </si>
  <si>
    <t>Pervert For Me (Official) Manga</t>
  </si>
  <si>
    <t>Pervert For Me</t>
  </si>
  <si>
    <t>호돌</t>
  </si>
  <si>
    <t>훈남 아이돌이 알고 보니 먹방 페티시를 가진 변태라면?
어려서부터 혹독한 몸매관리를 받아온 탓에 행복하게 먹는 모습을 보면 이성적 호감을 느끼는 '지후' 앞에 취향저격 200% 완벽한 먹방녀 '서윤'이 등장했다.
처음엔 먹는 모습에 반했지만, 점점 그녀에게 진심으로 좋아하게 되는 지후와 팬 이상의 감정을 갖게 되는 로맨스</t>
  </si>
  <si>
    <t>15세 이용가</t>
  </si>
  <si>
    <t>재밌니, 짝사랑</t>
  </si>
  <si>
    <t>재밌니, 짝사랑 - 웹툰 | 카카오페이지</t>
  </si>
  <si>
    <t>Crush on You - Official Comics | Manta</t>
  </si>
  <si>
    <t>Crush on You</t>
  </si>
  <si>
    <t xml:space="preserve">
드라마 계약 완료 (25년 10월 2일 계약 종료 -&gt; 1년 자동연장 조항 있음)</t>
  </si>
  <si>
    <r>
      <rPr>
        <rFont val="Arial"/>
        <color theme="1"/>
      </rPr>
      <t xml:space="preserve">- 피키툰 ‘날라리’로 데뷔한 손길 작가의 차기작 - 카카오페이지 밀리언페이지 등극 - 카카오페이지 120만 구독자 보유 - 인도네시아, 스페인-북미, 대만, 태국, 일본, 중국 연재 
</t>
    </r>
    <r>
      <rPr>
        <rFont val="Arial"/>
        <b/>
        <color rgb="FFFF0000"/>
      </rPr>
      <t>- 드라마 계약 완료 (25년 10월 2일 계약 종료 -&gt; 1년 자동연장 조항 있음)</t>
    </r>
  </si>
  <si>
    <t>손길</t>
  </si>
  <si>
    <t>12살의 민희는 교통사고를 당해 남의 집에서 키워지면서 아들인 필호만이 친가족처럼 살아간다.
어느 날, 민희는 일진과의 싸움에 휘말리게 되는데 한 남자 덕에 큰 피해가 없이 끝난다.
그러나, 그 남자는 알고 보니 같은 빌라에 새로 이사 온 교생 선생님이었다!?
사랑이 무엇인지 알게 해 준 남자 무열.
외로웠던 삶에 온기를 불어 준 여자 민희.
오랜 시간 사랑하는 마음을 숨길 수 밖에 없던 남자 필호.
과연 이들의 엇갈린 짝사랑은 이루어질 수 있을까?</t>
  </si>
  <si>
    <t>["로맨스","드라마","성장","일상"]</t>
  </si>
  <si>
    <t>스마트폰 중독자</t>
  </si>
  <si>
    <t>스마트폰 중독자 - 웹툰 | 카카오페이지</t>
  </si>
  <si>
    <t>Phone Addict | WEBTOON</t>
  </si>
  <si>
    <t>독일, 스페인, 인도네시아, 태국, 중국, 북미 연재</t>
  </si>
  <si>
    <t>용현동</t>
  </si>
  <si>
    <t>스마트폰 중독자인 주다무, 여느때와 같이 핸드폰을 손에서 놓지 않고 있는데, 체육시간에 재수없게 다무에게 날아 든 공으로 인해 핸드폰이 박살 나고야 만다.
수리를 예약하고 집에서 쭈구려 앉아 슬퍼하고 있는 순간 핸드폰이 검은 남자 사람으로 변해 다무의 앞에 나타난다. 그의 존재는 무엇이며 다무의 앞에 나타난 이유는 과연 무엇일까?</t>
  </si>
  <si>
    <t>["로맨스","개그","판타지","스토리","성장","일상","학원"]</t>
  </si>
  <si>
    <t>나비인간</t>
  </si>
  <si>
    <t>나비인간 - 웹툰 | 카카오페이지</t>
  </si>
  <si>
    <t>The Butterfly Girl - Official Comics | Manta</t>
  </si>
  <si>
    <t>The Butterfly Girl</t>
  </si>
  <si>
    <t>구독자 13.4만
스페인, 북미 해외 연재</t>
  </si>
  <si>
    <t>현</t>
  </si>
  <si>
    <t>나비비'는 17살이 지나면 언제든지 "고치"를 만들어 모습을 바꾸어 다시 태어날수 있다.
중학교 2학년, 유일한 친구 '다희'와 따돌림을 당하던 비비는 예쁘고 새로워진 모습으로 다시 태어나 고등학교에 입학하여 새출발을 하지만 매번 변할때 마다 괴리감을 느끼던 '비비'에게 '다희'가 '네가 아닌것 같다, 너는 누구냐'는 의문을 던지고 사라진다.
어렸을 적 잠시 살던 동네로 도망치듯 내려가 고등생활을 시작하는 비비는 자신과 같은 중학교 출신인 '방연우'를 만나게 되면서 상황은 오히려 악화되고, 설상가상으로 자신이 고치에서 나오는 모습을 연우에게 들켜버린다.</t>
  </si>
  <si>
    <t>["드라마"]</t>
  </si>
  <si>
    <t>대형막내!</t>
  </si>
  <si>
    <t>https://page.kakao.com/home?seriesId=57065475&amp;orderby=asc</t>
  </si>
  <si>
    <t>Wild Idols - Official Comics | Manta</t>
  </si>
  <si>
    <t>Wild Idols</t>
  </si>
  <si>
    <t>북미, 일본, 대만, 태국 연재</t>
  </si>
  <si>
    <t>나랑</t>
  </si>
  <si>
    <t>리즈</t>
  </si>
  <si>
    <t>이 세계에서는 동물이 인간의 모습과 인간의 지능을 획득한 상태를 `신 인류`라고 부른다. 연예 엔터테인먼트 업계에서 신 인류의 특장점을 아이돌의 매력으로 마케팅 하는 것도 흔한 일이 됐다.</t>
  </si>
  <si>
    <t>우리집 아이돌</t>
  </si>
  <si>
    <t>https://page.kakao.com/home?seriesId=53067806</t>
  </si>
  <si>
    <t>Idol House - Official Comics | Manta</t>
  </si>
  <si>
    <t>Idol House</t>
  </si>
  <si>
    <t>- 카카오페이지 구독자 43만 명 
- 2018 우수크리에이터 지원사업 당선 작품 
- 중국, 일본, 북미, 프랑스 연재
숏드라마 제작 진행 중이나 확정X</t>
  </si>
  <si>
    <t>자라개</t>
  </si>
  <si>
    <t>한둘</t>
  </si>
  <si>
    <t>50살이 다 되어가는 아줌마가 아이돌 팬이라니,
근데 그게 바로 우리 엄마?! 철부지같은 엄마가 몰래 ‘이레’의 폰으로 음악 프로그램 이벤트 문자 투표를 해버렸다.
갑자기 방송국에서 당첨됐다는 소식과 함께 초절정 인기 아이돌 그룹인 ‘Nier’가 집 앞에 나타난다.
아이돌에는 관심도 없는 이레는 출연비에 혹해서 TV프로그램 출연을 확정 짓게 된다.
잘생긴 남자들에 대한 불신이 있는 이레와 아이돌 활동에 자부심을 가지고 있는 민후
자꾸만 계속 충돌하게 되는데...
‘우리집 아이돌’, 무사히 끝마칠 수 있을까?!</t>
  </si>
  <si>
    <t>["로맨스","개그","스토리","일상","아이돌"]</t>
  </si>
  <si>
    <t>남자친구를 조심해</t>
  </si>
  <si>
    <t>https://page.kakao.com/home?seriesId=50009380</t>
  </si>
  <si>
    <t>Boy From the Future - Official Comics | Manta</t>
  </si>
  <si>
    <t>Boy From the Future</t>
  </si>
  <si>
    <t>X
영상계약 완료 (25년 12월 23 계약 종료 -&gt; 1년 자동연장 조항 있음)</t>
  </si>
  <si>
    <r>
      <rPr>
        <rFont val="Arial"/>
        <color theme="1"/>
      </rPr>
      <t xml:space="preserve">- 흥행보증수표  이네 작가의 차기작 - 카카오페이지 150만 구독자, 밀리언페이지 등극 - ’ 타임리프’라는 특이 장르로 인기 몰이 후 단행본 출간 - 글로벌 인기 작품: 인도네시아,스페인-북미,대만,태국,일본,중국 연재
</t>
    </r>
    <r>
      <rPr>
        <rFont val="Arial"/>
        <b/>
        <color rgb="FFFF0000"/>
      </rPr>
      <t>- 영상계약 완료 (25년 12월 23 계약 종료 -&gt; 1년 자동연장 조항 있음)</t>
    </r>
  </si>
  <si>
    <t>이네</t>
  </si>
  <si>
    <t>다인과 시현은 같은 반이지만 말 한 번 해보지 않은 어색한 사이
어느 날, 자신이 미래에서 온 시현이라고 주장하는 낯선 남자가 나타나고, 다인과 자신이 미래에서 사귀는 사이라고 주장한다.
다인은 낯선 남자의 말이 믿기지 않지만, 그의 예언이 하나둘 맞을 때마다 점차 신뢰하게 된다.
다인이 시현에게 관심을 보이자 반 아이들 사이에는 둘이 썸 탄다는 소문이 돌고, 둘 사이에는 미묘한 기류가 감돈다.
그러나 시현에게는 구분하기 힘들 정도로 똑같이 생긴 쌍둥이가 있다.
낯선 남자의 정체는 무엇일까...</t>
  </si>
  <si>
    <t>이상적인 관계</t>
  </si>
  <si>
    <t>Ideal Us - Official Comics | Manta</t>
  </si>
  <si>
    <t>Ideal Us</t>
  </si>
  <si>
    <t>단행본 출간
태국, 스페인, 북미, 일본 연재</t>
  </si>
  <si>
    <t>얏꽁</t>
  </si>
  <si>
    <t>‘사희’는 어릴 때 고백 팔찌를 남사친인 '세빈'이에게 줬다가 차인 기억에 철벽 도도녀가 되었다. 
갓 20살이 되고, 우연히 세빈과 '노아(남)'의 키스 장면을 보게 되는 사희
충격과 혼란스러움이 채 가시기도 전에, 그날 이후 꼬여버린 이들의 이상한 관계!
충격과 혼란 사이의이들과 한 지붕 동거가 시작된다.</t>
  </si>
  <si>
    <t>["로맨스","스토리","일상"]</t>
  </si>
  <si>
    <t>사랑양장점</t>
  </si>
  <si>
    <t>https://bufftoon.plaync.com/series/1000608</t>
  </si>
  <si>
    <t>버프툰 조회수 230만
일본 연재</t>
  </si>
  <si>
    <t>불곰</t>
  </si>
  <si>
    <t>은하</t>
  </si>
  <si>
    <t>첫사랑 ‘호랑'의 안락함 속에 숨어있는 미련, 집착과 새로운 사랑 ‘까망'이 보여주는 모험, 도전, 탈피 사이에서 과거와 현재의 갈등을 이겨내는 성장 로맨스 이야기</t>
  </si>
  <si>
    <t>스윗솔티</t>
  </si>
  <si>
    <t>https://comic.naver.com/webtoon/list?titleId=743423</t>
  </si>
  <si>
    <t>달삐</t>
  </si>
  <si>
    <t>이번 알바는 잘리면 안 된다!!
욱하는 성격에 매번 사고만 치는 경찰 준비생의 성질 개조 알바가 시작됩니다.</t>
  </si>
  <si>
    <t>["일상","힐링","드라마","스토리"]</t>
  </si>
  <si>
    <t>그래도 사랑해</t>
  </si>
  <si>
    <t>구독자 180만
일본 연재</t>
  </si>
  <si>
    <t>송하라</t>
  </si>
  <si>
    <t>‘정한’이 사별한 사실을 모르는 ‘지원’은 본인보다 12살이나 많은 유부남에게 설렘을 느끼면서도 그러면 안된다는 사실에 스스로를 꾸짖는다. 
사별한 아내와 학습지 선생님 사이에서 갈등하는 ‘정한’과 유부남을 좋아하는 ‘지원’의 로맨스.</t>
  </si>
  <si>
    <t>["로맨스","드라마"]</t>
  </si>
  <si>
    <t>더 익스트림</t>
  </si>
  <si>
    <t>https://page.kakao.com/home?seriesId=58427682</t>
  </si>
  <si>
    <t>일본 연재</t>
  </si>
  <si>
    <t>W</t>
  </si>
  <si>
    <t>후드맛</t>
  </si>
  <si>
    <t>어릴 적 사고로 왼쪽 다리를 잃은 한시우.
학창시절 내내 따라다니던 낙인과 놀림으로 트라우마를 겪었지만, 스마트 의족을 착용하며 스케이트 보드에 입문하게 된다.
엄청난 균형 감각을 선보이며 실력을 인정받아 들어가게 된 보드 크루, ‘익스트림 크루’.
크루 내에는 강력한 라이벌들이 있고, 크루 밖에도 수많은 방해들이 시우를 붙잡는다.
과연 시우는 이 모든 것을 이겨내고 국대 선발전에 출전하여 자신의 능력을 입증할 수 있을까?
의족을 차고 있는 외발 소년의 익스트림 스포츠 성장 드라마</t>
  </si>
  <si>
    <t>["소년","드라마"]</t>
  </si>
  <si>
    <t>1초에 100만원</t>
  </si>
  <si>
    <t>https://comic.naver.com/webtoon/list?titleId=842977</t>
  </si>
  <si>
    <t>웨이브</t>
  </si>
  <si>
    <t>이지호,도보리</t>
  </si>
  <si>
    <t>1초마다 100만원씩 한도가 올라가는 신비의 지갑.
단, 조건이 있다.
지갑에서 돈을 꺼내 쓰는 만큼 나와 관련된 무언가가 줄어든다는 것!
문제는, 줄어드는 것이 무엇인지는 알 수 없다고 하는데...?
그럼에도 지갑의 소유주가 되겠다고 결심한 사람들.
오늘 하루만, 이번 달까지만…
1초마다 100만원씩 생기는 달달한 현실에
이들은 자신이 어떤 대가를 치르고 있는지도 모른 채 돈을 꺼내고 또 꺼낸다.
불로소득으로 얻은 천문학적인 금액으로 원하는 행복을 살 수 있을까?
혹은, 그들이 잃고 있는 것이야말로 진짜 행복이었던 건 아닐까.</t>
  </si>
  <si>
    <t>ONGOING</t>
  </si>
  <si>
    <t>["드라마","판타지"]</t>
  </si>
  <si>
    <t>마법사</t>
  </si>
  <si>
    <t>https://www.myktoon.com/web/works/list.kt?worksseq=33</t>
  </si>
  <si>
    <t>겔부</t>
  </si>
  <si>
    <t>후렛샤</t>
  </si>
  <si>
    <t>남자가 26년 동안 동정을 지키면 마법사가 된다!? 실제 26년 동안 동정을 지킨 찌질남 ‘주인공’을 둘러싼 전설을 실제로 실현시켜 마법사가 된 주인공의 일대기!</t>
  </si>
  <si>
    <t>["개그","판타지"]</t>
  </si>
  <si>
    <t>백합 하우스</t>
  </si>
  <si>
    <t>https://page.kakao.com/content/60096304</t>
  </si>
  <si>
    <t>이부용</t>
  </si>
  <si>
    <t>정민</t>
  </si>
  <si>
    <t>여성전용원룸, 생각지도 못한 좋은 조건에, 꿈에 그리던 최고의 자취방을 얻었다.
이사한 첫날 밤,
쿵!!! 천장이 내려앉을 것만 같은 큰 소리에 잠이 깼다.
첫날부터 이웃과 감정 상하기는 하지만,
이건 좀 너무한 거 아닌가?
윗층에 올라가자, 열린 문 안으로 바닥에 쓰러진 여자가 보인다.
...이사한 첫날 밤, 윗층 여자가 자살했다.</t>
  </si>
  <si>
    <t>["드라마","스릴러"]</t>
  </si>
  <si>
    <t>마야고</t>
  </si>
  <si>
    <t>https://comic.naver.com/webtoon/list?titleId=660333</t>
  </si>
  <si>
    <t>&lt;빙의&gt; 차기작</t>
  </si>
  <si>
    <t>김홍태</t>
  </si>
  <si>
    <t>의 후속작으로 전편의 주인공 천박사는 우연히 취재를 하러 갔다가 정체불명의 마을에 갇히고 만다.</t>
  </si>
  <si>
    <t>["스릴러","퇴마"]</t>
  </si>
  <si>
    <t>데모니악</t>
  </si>
  <si>
    <t>https://comic.naver.com/webtoon/list?titleId=692512</t>
  </si>
  <si>
    <t>&lt;빙의&gt; 차기작, 네이버 웹툰 연재 시 요일 7위 유지
인도네시아-대만-중국으로 글로벌 인기</t>
  </si>
  <si>
    <t>마지막 이야기로 이탈리아의 카타콤에서 여행객을 통해 한국으로 들어온 악령인 데모니악들은 그들의 자식이자 악마의 자손들이 번영하기를 꿈꾼다.</t>
  </si>
  <si>
    <t>라운드</t>
  </si>
  <si>
    <t>https://series.naver.com/comic/detail.series?productNo=11493448</t>
  </si>
  <si>
    <t>은조</t>
  </si>
  <si>
    <t>이태준</t>
  </si>
  <si>
    <t>반성 없는 악질범들의 전 국민 생중계 교도소 격투 매치!
희대의 연쇄살인마 아버지를 둔 고등학생 강재악.
그와 정반대로 살기 위해 발버둥 쳤지만, 
우발적으로 자신을 괴롭혔던 가해자를 죽이고 만다.
그에게 내려진 형벌은 ‘사형’을 대신하는,
새로운 법정 최고형인 ‘무기한 격투형’
그야말로 생지옥 그 자체인 교도소.
그는 이곳에서 생존할 수 있을까</t>
  </si>
  <si>
    <t>[소년, 드라마]</t>
  </si>
  <si>
    <t>얼굴미화부</t>
  </si>
  <si>
    <t>https://page.kakao.com/content/54710157</t>
  </si>
  <si>
    <t>구독자 11만, 중국 연재</t>
  </si>
  <si>
    <t>"못생긴 건 죄가 아니지만, 꾸미지 않는 건 죄야"
엄마의 아름다운 외모를 물려받아 태어날때부터 완성형 외모였던 예서는 어려서부터 엄마의 외모지상주의론에 세뇌당하면서 자라왔다.
외모는 곧 권력이며 재력을 불러오는 능력이라 생각하는 엄마는 자신을 열심히 가꿔 재력이 상당한 남자와 결혼했고, 예서를 낳았다. 그리고 늘 자신을 가꾸는 것을 게을리하지 않으며, 이를 예서에게 또한 강요했다.
모두가 부러워 하는 예쁜 엄마와 자신에게 늘 호의적인 사람들.
아름다움으로 받는 혜택을 피부로 느끼며, 예서는 그렇게 외모지상주의에 자연스레 물들었다.
예서가 20대에 들어설 무렵, 아빠는 엄마보다 어리고 예쁜 여자와 바람이 났다. 배신과 충격을 받은 모녀는 그 집에서 나온다. 초반에는 여유로웠지만 워낙 외모 가꾸는데 치중하며 살았던 모녀는 일을 구할수가 없었다.
이에 예서는 상대적으로 여성보다 꾸밀 줄 모르는 남성들을 이해하지 못했고, 피티니스+성형브로커+패션+메이크업 멀티샵을 오픈해, 그 남성들을 환골탈태 시키는 회사 &lt;얼굴미화부&gt;라 칭한다.</t>
  </si>
  <si>
    <t>["뷰티","성장","드라마"]</t>
  </si>
  <si>
    <t>미래 남편 누구게?</t>
  </si>
  <si>
    <t>https://series.naver.com/comic/detail.series?productNo=6393980</t>
  </si>
  <si>
    <t>중국, 일본 연재</t>
  </si>
  <si>
    <t>금귤</t>
  </si>
  <si>
    <t>랑랑랑랑</t>
  </si>
  <si>
    <t>앗싸 개이득! 핸드폰을 주웠는데 배경화면이... 웨딩드레스를 입고 있는 ‘나’ ?
우연히 10년 뒤, 미래에서 온 자신의 핸드폰을 줍게 되고
전원을 켤 때마다 바뀌는 배경화면을 통해서
남편을 찾기로 하지만 왠지 새로운 단서를
확인하면 확인할 수록 더욱 미궁에 빠지게 되는데 ..
낭만을 꿈꾸는 금사빠 여고생 “양미래” 는
과연 단서를 통해 남편도 찾고,
핸드폰의 미스테리도 풀 수 있을까 ?
한창 썸타고 싶은 나이에 자신과
결혼한 남편을 찾는 여고생의 청춘 설렘 로맨스 코미디</t>
  </si>
  <si>
    <t>염라의 숨결</t>
  </si>
  <si>
    <t>https://page.kakao.com/content/60947872</t>
  </si>
  <si>
    <t>- 2021 카카오페이지X스토리잼 웹툰창조 공모전 수상작 
- 한국콘텐츠진흥원 주도 2022창의인재 동반사업 우수 프로젝트 선정작</t>
  </si>
  <si>
    <t>한개</t>
  </si>
  <si>
    <t>배청이</t>
  </si>
  <si>
    <t>빙판길에 미끄러져 어처구니 없는 죽음을 맞이한 김주영.
‘내가 그 동안 얼마나 열심히 살아왔는데.. 이대로 죽기엔 너무 억울해!’
그런 그녀의 죽음을 저승사자도 안타깝게 여겼는지 살 수 있는 방법을 알려준다.
“현재 이승에 계신 차기 염라대왕의 숨결을 받으면 살 수 있습니다.”
“숨결을 받는다는 건..?”
“좋은 방법이 있잖아요? 키스!”
살고 싶으면 염라대왕과 키스를 하라!
주영은 과연 까칠보스 염라대왕 해인의 숨결을 받을 수 있을까?</t>
  </si>
  <si>
    <t>삼각산 선녀탕</t>
  </si>
  <si>
    <t>https://page.kakao.com/content/61781238</t>
  </si>
  <si>
    <t>라희</t>
  </si>
  <si>
    <t>인간 나무꾼과 선녀 사이에 태어난 만년 무수리 후보생, 윤슬!사기꾼 엄마로 인해 쫓기는 신세인 흙수저 인간, 남우!삼각산을 호령하는 산신령 천상천하 유아독존 금수저, 후!착한 청년 남우는 채권자를 피해 북한산에 올랐다 우연히 고라니를 구해주고 되고,하필 그날이 산신령 부임하는 날이라 선녀들이 목욕을 하러 하늘에 내려오는데 그곳을 알려준다고?시내가 어느땐데 선녀복을 훔치라고?거부하던 남우는 그만 오해로 선녀복을 훔친 인간이 되어버리고이 절도는 고스란히 선녀복을 지키지 못했던 무수리 윤슬이 뒤집어 쓰게 되면서 선녀가 되는 길이 막혀 버린다.한편 새로 부임한 산신령 후는 선녀복을 되찾아 파티에 드레스 코드로 입고 들어온 윤슬에게 그만 반해 버리는데, 정직한 남우도 오해를 풀고자 윤슬에게 다가가면서 사랑을 느낀다.그렇지만 윤슬은 다시 엄마처럼 인간을 사랑하고 싶지 않았기에 갈등을 겪고 혼란과 번뇌의 러브라인 속에서 고뇌하며 인간인 남우의 사랑을 받아들일지, 산신령의 내리사랑을 받을지 행복한 선택의 기로 속에서 선녀 공개 선발 오디션 에 도전한다.선녀와 나무꾼의 모티브를 현대적으로 각색해 자신의 노력으로 선녀가 되고픈 윤슬과, 그런 윤슬을 짝사랑하며 자신의 방식대로 돕는 산신령과 인간. 전혀 다른 신분을 지닌 이들의 티키타카 삼각관계 로맨스!TOP</t>
  </si>
  <si>
    <t>["로맨스","드라마","코미디"]</t>
  </si>
  <si>
    <t>노이즈컴백</t>
  </si>
  <si>
    <t>https://page.kakao.com/content/60998028</t>
  </si>
  <si>
    <t>가구디자인학과 4학년으로 복학한 '노이즈'                                                                                         빡센 하루 일과를 완벽한 계획하에 철저히 살아가는 그녀에게                                                            성가신 일들이 일어나기 시작한다. 
'이즈'는 다이어리를 잃어버리면서 생판 처음 보는                                                                                한 요상한 남자에게 자신의 치명적인 비밀을 들키고 만다.  
'우유진'이라는 그 남자는 이상하게                                                                                                        노이즈가 쩔쩔 매는 것을 즐기는 듯 하고                                                                                             그녀를 꿰뚫어보는 듯하다.  
그러던 어느 날 '우유진'은 뜬금없이 '노이즈'에게 오랫동안 꿈이었던                                                        &lt;SHEPHERD(셰퍼드) 공모전&gt; 협업을 제안한다.                                                                                      그는 대체 무슨 목적을 가지고 그녀에게 접근 하는 걸까?</t>
  </si>
  <si>
    <t>["드라마","로맨스"]</t>
  </si>
  <si>
    <t>우리 모두는 누군가의 첫사랑이었다</t>
  </si>
  <si>
    <t>https://page.kakao.com/content/63611875</t>
  </si>
  <si>
    <t>이안</t>
  </si>
  <si>
    <t>초등학교 6학년 때 같은 반 "태리"에게 반해버린 천진난만한 소녀 "서 결"! 그녀는 그와 가까워지기위해 나름대로 노력을 기울이지만
4년 후 안타깝게도 여전히 모태솔로인 상태로 고등학교에 진학하게 된다. 고교 진학후에도 타 학교를 다니는 태리를 흠모하며 그의 주위를 멤도는 그녀. 
반면에 그런 그녀를 흠모하는 의문의 미소년 "다솔"과 뜻밖의 소녀, 소꿉친구 "소라". 그들의 청춘은 사각관계에서 어디로 흘러가게 될 것인가? 
그리고 결이와 함께할 행운의 상대는 과연 누구일까?! 청춘 로맨스 힐링 폭격 웹툰 "우리 모두는 누군가의 첫사랑이었다."</t>
  </si>
  <si>
    <t>["학원물","로맨스"]</t>
  </si>
  <si>
    <t>귀신과 연애하기 시뮬레이션</t>
  </si>
  <si>
    <t>https://page.kakao.com/content/63602041</t>
  </si>
  <si>
    <t>플민</t>
  </si>
  <si>
    <t>이브</t>
  </si>
  <si>
    <t>다짜고짜 모든 것을 자신을 탓하며, 함께 가자고 때를 쓰는 ‘채나’ 때문에 ‘은섭’은 기절초풍,
뒷목 잡고 쓰러질 기세다... 기억도 안나는 여자친구가 뭐가 어쩌고 저째? 귀신?!!
아니, 그것보다 일단 네가 내 전 여자친구가 맞긴 한 거야?
3년이 지나도록, 귀신이 남자의 양기를 받지 못하면 악귀가 된다고?
도망가고 싶다가도 저런 신세가 안타까워 뭐라도 도와줄까 싶지만,
이 막무가내 귀신 ‘채나’를 달래주기 여간 힘든 게 아니다..
과연, 쫄보 중 가장 쫄보 ‘현은섭’은
자신의 전 여자친구라던 귀신 ‘김채나’를 무사히 성불시킬 수 있을까?</t>
  </si>
  <si>
    <t>["로맨스","드라마","판타지","퇴마","공포","캠퍼스"]</t>
  </si>
  <si>
    <t>코코스튜</t>
  </si>
  <si>
    <t>재희</t>
  </si>
  <si>
    <t>대한민국에 야자수가 가득한 고등학교가 있다?!
야자수에 취하고 야자에 지친 리얼 여고생들의 파란만장 성장기를 4컷 안에 담았다.
재미와 웃음 그리고 공감을 이끌 코코스튜!</t>
  </si>
  <si>
    <t>["개그","학원"]</t>
  </si>
  <si>
    <t>김 대리는 아이돌이 싫어</t>
  </si>
  <si>
    <r>
      <rPr>
        <color rgb="FF1155CC"/>
        <sz val="7.0"/>
        <u/>
      </rPr>
      <t>https://comic.naver.com/webtoon/list?titleId=842974</t>
    </r>
    <r>
      <rPr>
        <sz val="7.0"/>
      </rPr>
      <t xml:space="preserve"> </t>
    </r>
  </si>
  <si>
    <t>드리미</t>
  </si>
  <si>
    <t>퇴사연습생</t>
  </si>
  <si>
    <t>한평산업 5년차 직원이자 부장 딸의 대리덕질 경력 5년의 ‘대리 김이월’.
오늘도 어김없이 대리덕질 무급 야근을 하다가 그룹 해체 소식을 듣고는 쓰러진다. 눈을 떠보니 다크서클이 없던 20살로 회귀했고, 누나의 죽음을 무효로 해주는 조건으로
대리덕질한 그룹 ‘스파크’로 데뷔해야 하는 업무가 주어진다.
실패할 경우 한평산업에 재입사, 이직 불가라는 끔찍한 부가 조건이 걸린 채.
대리덕질과 인사팀 업무 및 온갖 잡무 경력으로 다져진 악과 깡으로 데뷔만 하고 탈퇴하자!</t>
  </si>
  <si>
    <t>얼굴천재 0살 톱스타</t>
  </si>
  <si>
    <r>
      <rPr>
        <color rgb="FF1155CC"/>
        <sz val="7.0"/>
        <u/>
      </rPr>
      <t>https://page.kakao.com/content/67394591</t>
    </r>
    <r>
      <rPr>
        <sz val="7.0"/>
      </rPr>
      <t xml:space="preserve"> </t>
    </r>
  </si>
  <si>
    <t>타파스 연재 계약중</t>
  </si>
  <si>
    <t>파라</t>
  </si>
  <si>
    <t>톰</t>
  </si>
  <si>
    <t>노바마</t>
  </si>
  <si>
    <t>하루만이라도 미남으로 살아보는 게 꿈이었던 조연배우 '이한조'는 
선하게 살아온 삶에 대한 보상으로 아름다운 얼굴과 함께 소원을 들어주는 상태창과 환생한다.
비록 한겨울에 수녀원 앞에 버려진 천애고아 신세에 앞길이 막막하던 차에 
재벌가 배우에게 입양되기까지 한, 운마저 너무 좋은 회귀 후의 삶.
경험치 만렙 조연배우의 노련함과 신이 내린 얼굴로 이번 생엔 
톱스타를 노려봐도 되지 않을까?</t>
  </si>
  <si>
    <t>견우와 선녀</t>
  </si>
  <si>
    <t>https://comic.naver.com/webtoon/list?titleId=740034</t>
  </si>
  <si>
    <t>X
TVN 드라마 방영 완료</t>
  </si>
  <si>
    <t>TVN 드라마 방영 완료
단행본 발간 1~6권</t>
  </si>
  <si>
    <t>안수민</t>
  </si>
  <si>
    <t>낮에는 평범한 여고생 밤에는 무당 천지선녀로 이중생활을 하고 있지만  용하다고 소문이 나서 눈코 뜰 새 없이 바쁘지만 사실은 운명적인 사랑을 꿈꾸는 18살 여고생 성아.
어느 날 눈 앞에 운명의 남자가 나타나지만, 하필이면 죽을 운명이란 것을 자신의 신기로 깨닫고 단념한다.
하지만, 자신의 반으로 전학 온 운명의 남자와 재회하곤 운명남 배견우를 비운의 운명에서 구해 내기로 마음먹는다.
하지만 견우는 무당이라면 치를 떨 정도로 싫어하여 성아를 계속해서 밀어내는데…
과연 성아는 원하는대로 견우를 운명에서 구해내고 남자친구로까지 만드는 두 마리의 토끼를 잡을 수 있을까?</t>
  </si>
  <si>
    <t>N/A</t>
  </si>
  <si>
    <t>["로맨스","스토리"]</t>
  </si>
  <si>
    <t>펌킨타임</t>
  </si>
  <si>
    <t>https://page.kakao.com/home/53764621</t>
  </si>
  <si>
    <t>X
카카오 TV 드라마 방영</t>
  </si>
  <si>
    <t>카카오 TV 드라마 방영</t>
  </si>
  <si>
    <t>개다래</t>
  </si>
  <si>
    <t>초등학생 때 둘도 없는 친구 사이였던 해원과 태주. 태주가 해외로 유학을 가게 되면서 둘의 사이는 저절로 멀어지게 된다.
몇 년 후,  태주가 다시 한국으로 돌아오게 되면서 해원을 찾기 시작하는데 자취를 찾을 수가 없다. 대신 해윤이라는 여자애가 자꾸 해원과 겹쳐서 보이기 시작하면서 알 수 없는 감정에 휩싸이게 된다.
과연 이 둘의 우정이 사랑으로 바뀌게 될까?</t>
  </si>
  <si>
    <t>우리는 매일매일</t>
  </si>
  <si>
    <t>https://page.kakao.com/home?seriesId=53488000</t>
  </si>
  <si>
    <t>X</t>
  </si>
  <si>
    <t>영화 제작 완료</t>
  </si>
  <si>
    <t>‘여울’의 소꿉 친구 '호수'에게 갑작스러운 고백에 거절한 채 어색한 사이로 중학교를 졸업한다. 하지만 고등학교 입학식 날, 같은 학교 교복을 입은 호수를 보고 여울은 몸이 굳어버린다.
옛날처럼 지내고 싶다고 부탁하는 여울. 호수는 알겠다며 한 마디를 덧붙인다.
“예전과 같이 오로지 친구 사이가 아닌 것 쯤은 기억해”
그 말을 듣고 나서 무엇 때문인지 자꾸만 신경이 쓰이는 여울의 마음과 함께 그들의 고등학교 생활이 시작된다.</t>
  </si>
  <si>
    <t>그녀의 버킷리스트</t>
  </si>
  <si>
    <t>https://comic.naver.com/webtoon/list?titleId=734012</t>
  </si>
  <si>
    <t>(김소혜X나인우) 죽은 남자친구가 만들어 준 뜻밖의 인연
https://tv.kakao.com/v/425575092
김소혜X나인우, '그녀의 버킷리스트' 예고편 공개...연말 로맨스 감성 저격
https://tenasia.hankyung.com/tv-drama/article/2021121593324
영상화 판권X</t>
  </si>
  <si>
    <t>솦</t>
  </si>
  <si>
    <t>황양</t>
  </si>
  <si>
    <t>남자친구가 죽었다는 소식을 듣게 된 '차라리'는 자살을 생각한다. 하지만 생각보다 고통스러웠던 자살 방법에 포기하게 되고, tv에서 나오는 ‘버킷리스트’를 보게 된다. ‘차라리’는 자신과 죽은 남자친구의 버킷리스트를 기억 해내고, 버킷리스트를 모두 이룬 후 죽으려 한다.</t>
  </si>
  <si>
    <t>마녀는 사랑하지 않아도 괜찮아요</t>
  </si>
  <si>
    <t>https://page.kakao.com/content/58437842</t>
  </si>
  <si>
    <t>X
영상 판권 카카오에 있음</t>
  </si>
  <si>
    <t>영상 판권 카카오에 있음
영어, 일본, 태국, 대만 연재</t>
  </si>
  <si>
    <t>옛날 옛적 공주와 왕자의 사랑을 방해한 마녀는 평생 사랑하지 않고 누군가의 사랑만을 응원해야 하는 벌을 받고 마는데..
조상님의 저주덕분에 남의 사랑만을 구경하는 취준생 마녀 마도희.
사람의 마음을 조종할 수 있는 마법의 능력 없이 회사를 이끌어내고자 하는 철두철미 마법사 하태정.
혜성처럼 등장하는 도희의 첫사랑 이한결까지..
과연 마도희는 사랑을 할 수 있을까? 저주를 풀 기위한 험난한 마녀 인생기!</t>
  </si>
  <si>
    <t>["로맨스","마법사"]</t>
  </si>
  <si>
    <t>악마와 계약연애</t>
  </si>
  <si>
    <t>https://comic.naver.com/webtoon/list?titleId=710750</t>
  </si>
  <si>
    <t>- 영상화 판권 계약 완료
 -  출판 계약 완료 
- 네이버웹툰 Mix 프로젝트 전체2위 
- 네이버 연재 5회 만에 요일 7위권 돌파 
- 일본,대만,북미,스페인,인도네시아,태국,프랑스 연재</t>
  </si>
  <si>
    <t>움비</t>
  </si>
  <si>
    <t>장진</t>
  </si>
  <si>
    <t>비 새는 반지하 단칸방. 
돈에 시달려 치열하게  살아가는 
밑바닥 인생 한나. 인간의 목숨만 있다면 뭐든 할 수 있는 악마 4호.
목숨을 담보로 한 
아찔한 동거가 시작된다.</t>
  </si>
  <si>
    <t>러브 앤 위시</t>
  </si>
  <si>
    <t>https://page.kakao.com/home?seriesId=49256586</t>
  </si>
  <si>
    <t>X
드라마/영화 계약 완료
&lt;러브 앤 위시&gt; 카카오TV</t>
  </si>
  <si>
    <t>- 카카오페이지 150만 구독자, 밀리언페이지 등극 
- 누적 작품 뷰 약 1억 뷰, 1회 최고 누적 225만 뷰 
- 2017년 기준, 카카오페이지 약 5억 매출 달성 
- 한국,일본,중국,대만,영미권에 인기 및 유료 수익 폭발 
- 드라마/영화 계약 완료
&lt;러브 앤 위시&gt; 카카오TV</t>
  </si>
  <si>
    <t>운명적인 사랑을 꿈꾸던 17살 소녀, 손다은
두 언니를 따라 서울에 이사 온 첫 날부터 아래층 남자와 자꾸만 부딪히게 되는데...
심지어 같은 반 이라니, 이게 바로 운명?!
운명의 남자 김승휴에게 적극적인 애정 공세에 둘은 커플이 되고, 마침내 행복해지려는 찰나 왕따를 당하는 줄 알았던 승휴가 사실은 가해자였다는 사실이 드러나게 된다.
학교 안에서 벌어지는 고등학생들의 풋풋한 사랑과 진지한 우정을 보여주는 정통 학원 로맨스</t>
  </si>
  <si>
    <t>윌유메리미</t>
  </si>
  <si>
    <t>https://comic.naver.com/webtoon/list?titleId=616239&amp;weekday=tue</t>
  </si>
  <si>
    <t>소리로 보는 웹툰  1 (내레이션버전) https://digital.kyobobook.co.kr/digital/ebook/ebookDetail.ink?barcode=450D000052593</t>
  </si>
  <si>
    <t>마인드C</t>
  </si>
  <si>
    <t>웹툰 작가인 윌은 새로운 소재를 찾아 부산으로 떠나게 된다. 부산에서 알게 된 여자인 메리는
외모는 청순녀인데 마음은 터프가이인 매력녀. 이런 메리가 점점 여자로 느껴지는데...
알고 보니 윌과 메리는 그냥 동갑이 아니라 12살 띠동갑!?
서울과 부산과 사이 띠동갑 커플의 리얼 연애 일기</t>
  </si>
  <si>
    <t>["일상","개그"]</t>
  </si>
  <si>
    <t>항변신</t>
  </si>
  <si>
    <t>https://page.kakao.com/home?seriesId=51649140</t>
  </si>
  <si>
    <t>- 카카오페이지 연재 작품 - 2018 우수크리에이터 지원사업 당선 작품 - 
영상화 계약 완료</t>
  </si>
  <si>
    <t>성월</t>
  </si>
  <si>
    <t>최노끼</t>
  </si>
  <si>
    <t>‘오라’의 동생이 알 수 없는 병을 얻자 무당을 찾아간다.
하지만 무당은 오라에게 10년 동안 ‘항변신’에게 제사를 꾸준히 지내야 동생이 낫는다고 말한다.
이후 오라는 10년 동안 꾸준히 제사를 올렸지만, 하필이면 수능과 겹쳐서 서러움에 제사상을 엎어버린다.
물론 모시던 대변도 같이!
갑자기 번쩍하면서 펑 하는 소리와 함께 대변이 폭발한 줄 알았는데, 똥 대신 웬 꽃미남이 오라 앞에 나타난다.
꽃미남은 자신이 항변신 ‘완노라’라고 소개한다.
이렇게 오라와 노라의 좌충우돌 동거가 시작된다!</t>
  </si>
  <si>
    <t>["판타지","로맨스","개그"]</t>
  </si>
  <si>
    <t>그림자 미녀</t>
  </si>
  <si>
    <t>https://page.kakao.com/home?seriesId=53419580</t>
  </si>
  <si>
    <t>X
드라마 카카오TV 런칭</t>
  </si>
  <si>
    <t>드라마 카카오TV 런칭</t>
  </si>
  <si>
    <t>아흠</t>
  </si>
  <si>
    <t>어렸을 때부터 예쁜 언니와 비교 당하며 자란 애진. 그러나 사고로 언니가 죽게 되고, 자신에게 언제나 친절하고 자랑거리였던 언니를 그리워한다. 애진은  언니가 고등학생이 된 모습을 상상하며 자신의 사진을 과도하게 포토샵으로 변형하여 SNS에 업로드 하기 시작하고 팔로워 70만의 SNS스타      자리에 오르게 된다.
학교에서는 왕따 애진으로, 인터넷에선 SNS 스타 지니로의 이중생활이 시작된다.</t>
  </si>
  <si>
    <t>["드라마","스토리","성장"]</t>
  </si>
  <si>
    <t>인간시장</t>
  </si>
  <si>
    <t>https://page.kakao.com/home?seriesId=58717191</t>
  </si>
  <si>
    <t xml:space="preserve">x
한국에서 숏드라마 제작 계약 체결 </t>
  </si>
  <si>
    <t>&lt;그림자미녀&gt; 차기작
숏폼 드라마 계약 완료</t>
  </si>
  <si>
    <t>“나도 너처럼 살아보자”
완벽해 보였던 인플루언서 ‘미로’에게 자신의 모든 과거와 거짓말을 알고 있는 팬이 나타났다.
이 여자는 이것을 이용해 ‘미로’에게 점점 더 많은 것을 요구를 하고, 자신을 인플루엇너의 위치에     올려놓아라고 하는데, 이 여자의 진짜 목적은 무엇일까?</t>
  </si>
  <si>
    <t>나를 바꿔줘</t>
  </si>
  <si>
    <t>https://comic.naver.com/webtoon/list?titleId=733280</t>
  </si>
  <si>
    <t>X
"영상화 계약 완료
(25년 12월 31일 제작허락기간 종료)"</t>
  </si>
  <si>
    <t>영상화 계약 완료
(25년 12월 31일 제작허락기간 종료)</t>
  </si>
  <si>
    <t>이호정(호띠)</t>
  </si>
  <si>
    <t>조아람(이지호)</t>
  </si>
  <si>
    <t>외모만 바뀌면 인생이 바뀔 거라 생각하는 사람들 앞에 나타나 3명의 미녀 프로필을 건네는 정체불명의 여자.
"골라봐, 너를 이 3명 중 한 명의 외모로 바꿔 줄게"
절망 끝에 있는 사람들은 1명을 고르자 마자 순식간에 선택한 외모로 바뀌고, 그들은 환호한다.
기쁨도 잠시, 그녀는 경고를 한다.
"넌 이제 이 사람의 도플갱어가 된거야. 이 사람과 눈을 마주치는 순간 넌 죽어버려"
과연 그들은 바뀐 외모로 도플갱어를 만나지 않고, 원하는 인생을 살 수 있을까?</t>
  </si>
  <si>
    <t>빙의</t>
  </si>
  <si>
    <t>https://comic.naver.com/webtoon/list?titleId=632330</t>
  </si>
  <si>
    <t>X
 영화 제작 &lt;천박사 퇴마 연구소: 설경의 비밀&gt;</t>
  </si>
  <si>
    <t>- 네이버 웹툰 연재 시 요일 10위권 내 유지! 
- 인도네이사-대만-중국으로 글로벌 진출
 영화 제작 &lt;천박사 퇴마 연구소: 설경의 비밀&gt;</t>
  </si>
  <si>
    <t>어느 날, 트럭을 운전하던 한 남자가 신호 대기중 느닷없이 눈빛이 돌변해 난폭운전을 하다 3중 추돌 사건으로 총 12명이 사망하는 사건을 일으킨 뒤 강으로 추락하는 사고가 발생한다.
과연 그는 귀신에 씌었던 것일까?
귀신을 믿지 않지만 돈을 밝히는 퇴마사 ‘천박사’는 가짜 귀신팔이로 돈을 버는 사기꾼, 그리고  귀신이 보인다는 여자 ‘오유경’과 함께 우연히 이 사건에 휘말리게 된다.
누군가가 유체이탈을 통한 '빙의'현상으로 범죄를 일으키고 있다는 것을 알아내고 해결해간다.</t>
  </si>
  <si>
    <t>&lt;숏폼 추천&gt;</t>
  </si>
  <si>
    <t>네 이웃의 취향</t>
  </si>
  <si>
    <t>https://page.kakao.com/home?seriesId=58408884</t>
  </si>
  <si>
    <t>Read The Odd One Next Door | Tapas Web Comics</t>
  </si>
  <si>
    <t>The Odd One Next Door</t>
  </si>
  <si>
    <t>- 서정윤 작가 원작 로맨스 웹소설  
- 연담X만화가족</t>
  </si>
  <si>
    <t>희</t>
  </si>
  <si>
    <t>서정윤(원작)</t>
  </si>
  <si>
    <t>동네에서 작게 공방을 운영하고 있는 가은.
익숙하던 옆집은 공사판이 되더니 낯설게 바뀐 그 곳엔 그녀가 어디서도 본 적 없는 사납고 매서운 이웃이 이사왔다.
높은 담과 쉴 새 없이 드나드는 여자들. 게다가 대낮부터 옷을 벗고 있는 걸 보면 그도 절대 평범한 사람은 아닐 것이다.
가은은 최대한 남자와 엮이지 않기로 다짐하지만...
“누구 맘대로 들어온 겁니까”
“누가 이걸 집 앞에 떨어뜨리고 갔어요”
“고작 이딴 걸 전해 주겠다고 담이라도 넘은 겁니까?”
낯설고 수상한, 거기에 성격까지 까칠하기 이를 데 없는 그녀의 이웃 강시완.
가은은 이 오만한 이웃과 평화롭게 살 수 있을까?
각자에 대한 편견에 사로잡힌 남녀가 만들어가는 달콤 쌉싸름한 연애기!</t>
  </si>
  <si>
    <t>["노블","노블코믹스","로맨스"]</t>
  </si>
  <si>
    <t>나쁘니까 더</t>
  </si>
  <si>
    <t>https://ridibooks.com/books/3097000702?_s=search&amp;_q=%EB%82%98%EC%81%98%EB%8B%88%EA%B9%8C&amp;_rdt_sid=search&amp;_rdt_idx=0</t>
  </si>
  <si>
    <t>나야 작가 원작 로맨스 웹소설</t>
  </si>
  <si>
    <t>해린</t>
  </si>
  <si>
    <t>나야(원작)</t>
  </si>
  <si>
    <t xml:space="preserve">
48세, 결혼 상대의 나이였다.
돈 때문에 원치 않은 결혼을 강요받는 송연주.
키워 준 은혜를 갚으라는 가족들 앞에서 그녀의 의견은 철저히 무시당했다.
“난 너처럼 어리고 예쁜 엄마 갖기 싫어.”
두 살 어린 아들이 될 예정인 강이원.
물 흐르듯 진행되는 결혼에 그만이 유일하게 태클을 걸었다.
“그래서 내가 뺏어 볼까 해, 너를.”
정말 이대로 돈에 팔리듯 늙은 남자와 결혼할 거냐며 차라리 그를 선택하라고 제안했다.
“너도 늙은 놈보단 어린 새끼가 낫잖아?”
다른 방법이 없었다.
어차피 제 뜻대로 바꿀 수 없는 현실이라면 이 어리고 패기 있는 남자와 함께하는 것이 차라리 나았다.</t>
  </si>
  <si>
    <t>["노블코믹스","로맨스"]</t>
  </si>
  <si>
    <t>위험한 동거</t>
  </si>
  <si>
    <t>https://comic.naver.com/challenge/list?titleId=621139</t>
  </si>
  <si>
    <t>T2</t>
  </si>
  <si>
    <t>살인사건으로 가족을 잃은 여고생과 그녀의 가족을 살해한 살인마
평범하던 여고생의 삶은 한 살인마가 그녀의 가족을  처참히 죽이면서 180도로 변하게 된다.
범인의 얼굴을 기억하는 여고생은 범인과 마주치자 그를 납치한 후에 자신의 집에 감금한다.
감금 후 고문과 일방적인 대화가 오가는 그 속에서 그가 범인이 아닐지도 모른다는 의문이 든다. 
피해자와 가해자가 뒤바뀐 두 남녀의 기묘하고 위험한 동거가 시작된다.</t>
  </si>
  <si>
    <t>["스릴러"]</t>
  </si>
  <si>
    <t>애착인형</t>
  </si>
  <si>
    <t>https://page.kakao.com/content/59145452</t>
  </si>
  <si>
    <t>웽툰</t>
  </si>
  <si>
    <t>https://page.kakao.com/home?seriesId=53764524</t>
  </si>
  <si>
    <t>이모티콘 계약 체결</t>
  </si>
  <si>
    <t>춘섬이</t>
  </si>
  <si>
    <t>스스로조차 이해할 수 없는 바보짓을 겪어보았다면, 이 녀석을 의심해보세요!
시즌 5와 함께 돌아온 웽작가! 
웽작가의 일상에서 소소한 행보를 펼치는 웽을 함께 만나보아요!</t>
  </si>
  <si>
    <t>황금의 핸드메이커</t>
  </si>
  <si>
    <t>https://series.naver.com/comic/detail.series?productNo=3513129</t>
  </si>
  <si>
    <t>김래하</t>
  </si>
  <si>
    <t>박장고</t>
  </si>
  <si>
    <t>황금을 만드는 손, 주인공 미다스의 오른팔을 빼앗아 그 능력으로 세상을 정복하려는 야망이 있다.</t>
  </si>
  <si>
    <t>["판타지","소년"]</t>
  </si>
  <si>
    <t>영웅 강철남</t>
  </si>
  <si>
    <t>https://series.naver.com/comic/detail.series?productNo=5891643</t>
  </si>
  <si>
    <t>VR 콘텐츠 계약
일본 연재</t>
  </si>
  <si>
    <t>현용민</t>
  </si>
  <si>
    <t>대한민국의 미래를 위해 청년 ‘박진감'이 '영웅 강철남'으로 재탄생해서 겪는 이야기가 펼쳐진다.</t>
  </si>
  <si>
    <t>["블랙코미디"]</t>
  </si>
  <si>
    <t>베텔게우스</t>
  </si>
  <si>
    <t>https://webtoon.kakao.com/content/%EB%B2%A0%ED%85%94%EA%B2%8C%EC%9A%B0%EC%8A%A4/3639</t>
  </si>
  <si>
    <t>북미, 일본 연재</t>
  </si>
  <si>
    <t>중력</t>
  </si>
  <si>
    <t>2030년 봄. 3월의 어느 날 오리온자리의 베텔게우스가 제2형 초신성 폭발한다.잇달아 원인 모를 전자기기의 오작동, 통신 두절, 탐사 기기와 우주선의 연락도 모두 끊겨 지구는 우주로부터 완전히 고립된다.혼란에 빠진 인류는 하늘에 나타난 푸른 별을 밤낮으로 마주하게 되고.고등학생인 주명은 이런 불안 사회 상황 속, 심리적 부담을 이기지 못하고 스트레스에 눌러 참다가 충동적으로 옥상 위에서 뛰어내리려 한다.그를 말리기 위해 달려온 같은 반 윤소.주명은 윤소가 신비한 힘을 쓰는 것을 목격하며 그녀를 통해 새로운 삶을 시작한다.인간이 아닌 새로운 지적 생명체인 윤소. 그리고 인간인 주명은 헝클어져 버린 시공간 너머에서 찾아온 낯설지만 가까운 존재들과 맞서 싸우게 되는데…TOP</t>
  </si>
  <si>
    <t>["드라마","판타지","학원","SF판타지"]</t>
  </si>
  <si>
    <t>당신의 아내를 접수합니다</t>
  </si>
  <si>
    <t>야야제자</t>
  </si>
  <si>
    <t>아내를 의심하고 분노하면서도 다른 남자에게 넘기는 상상을 하며 흥분하는 이중생활을 즐기고 있는 남편
갑자기 문자로 발각된 자신의 이중생활로 선택의 순간이 온다.
과연 이 위험한 마음도 사랑일까?
도저히 가늠할 수 없는 욕망 앞에 점차 진실이 드러난다.</t>
  </si>
  <si>
    <t>성인</t>
  </si>
  <si>
    <t>["성인","NTR"]</t>
  </si>
  <si>
    <t>부기영화</t>
  </si>
  <si>
    <t>https://page.kakao.com/content/53397318</t>
  </si>
  <si>
    <t>여빛</t>
  </si>
  <si>
    <t>급소가격</t>
  </si>
  <si>
    <t>영화를 소재로 하기 때문에 슈뢰딩거의 스포일러가 존재합니다.
다만 이 스포일러가 있을 수도 있고, 없을 수도 있고, 있어도 알아채지 못할 수 있습니다.
언제나 상상 그 이상을 보여주는 상식 그 이하의 만화!
한 번 읽기 시작하면 일상 생활로는 결코 돌아갈 수 없다는 것.
복용하고 있는 약은 단 하나! ‘부기영화’ 전부입니다</t>
  </si>
  <si>
    <t>["리뷰","개그"]</t>
  </si>
  <si>
    <t>츄리닝</t>
  </si>
  <si>
    <t>VR 콘텐츠 계약</t>
  </si>
  <si>
    <t>이상신</t>
  </si>
  <si>
    <t>국중록</t>
  </si>
  <si>
    <t>한 번도 안 본 사람은 있어도, 한 번만 본 사람은 없다!
아는 얘기도 모르는 얘기도 아닌, 새로운 재미를 만들어내는 유일무이 일상개그툰!</t>
  </si>
  <si>
    <t>시히트왕국정복기</t>
  </si>
  <si>
    <t>https://page.kakao.com/home?seriesId=56453386</t>
  </si>
  <si>
    <t>카카오페이지 구독자 23.1만
일본 연재</t>
  </si>
  <si>
    <t>수성</t>
  </si>
  <si>
    <t>이태산</t>
  </si>
  <si>
    <t>멸망해가는 세계 속에서 주어진 운명에 맞서는 공주 대리, 미아 시히트의 성장기!</t>
  </si>
  <si>
    <t>트라우마</t>
  </si>
  <si>
    <t>곽백수</t>
  </si>
  <si>
    <t>‘가우스 전자’ 곽백수 작가의 원조 반전식 개그 컷만화!
매 회 다른 등장인물과 상상도 못한 반전이 유쾌한 트라우마!</t>
  </si>
  <si>
    <t>["개그","컷만화"]</t>
  </si>
  <si>
    <t>내가 누구개</t>
  </si>
  <si>
    <t>https://page.kakao.com/home?seriesId=51205580</t>
  </si>
  <si>
    <t>https://www.webtoons.com/en/canvas/wolves-angels-and-demons/list?title_no=356838</t>
  </si>
  <si>
    <t>wolves , angels and demons</t>
  </si>
  <si>
    <t>성귤</t>
  </si>
  <si>
    <t>도무</t>
  </si>
  <si>
    <t>고수익 알바라는 말에 임상실험을 하게 된 '하율'은 실험 부작용 때문에 해가 뜨면 귀여운 '강아지'로 변한다. 개로 변한 상태로 마주친 ‘하율’을 유기견이라고 착각한 ‘나리’는 하율을 데리고 살게 된다. 그렇게 하율은 강아지인 자신을 도와준 나리에게 점점 마음이 가게 된다. 나리 또한 영문도 모른 채 하율의 친절함에 점차 사랑에 빠지게 된다.</t>
  </si>
  <si>
    <t>["판타지","로맨스"]</t>
  </si>
  <si>
    <t>밀토담</t>
  </si>
  <si>
    <t>https://ridibooks.com/books/3097001093?_rdt_sid=library_detail&amp;_rdt_idx=0</t>
  </si>
  <si>
    <t>봉</t>
  </si>
  <si>
    <t>토끼를 돌보는 것 외에는 특별할 것이 없는 토끼 신령 비연은 어느 날 크게 다친 작고 귀여운 새끼용을 줍게 되고, 
그날 이후부터 전생의 꿈을 꾸게 된다.
신수중에서도 가장 낮은 신수인 토끼 신령 '비연'과 
가장 높은 신수인 용이지만 운국을 멸망시킬 용이라는 예언을 받으며 태어난 '도류'.
둘의 우연을 가장한 만남을 시작으로 소선은 전생의 또 다른 자아가 눈을 뜨게 된다.</t>
  </si>
  <si>
    <t>["BL","판타지"]</t>
  </si>
  <si>
    <t>고양이 뚜껑</t>
  </si>
  <si>
    <t>https://page.kakao.com/home?seriesId=50914223</t>
  </si>
  <si>
    <t>황짠느</t>
  </si>
  <si>
    <t>이백</t>
  </si>
  <si>
    <t>여고생 고나는 고양이를 기르고 있다.
그런데 이 고양이 ‘뚜껑’은 사람 말을 할 줄 아는데!
고양이 일생도 사람 삶이랑 별반 다르지 않네?
고양이와 사람이 함께 동고동락하면서 일어나는 리얼 집사 이야기</t>
  </si>
  <si>
    <t>["일상","동물"]</t>
  </si>
  <si>
    <t>사랑도 튀기면 맛있나요</t>
  </si>
  <si>
    <t>https://page.kakao.com/home?seriesId=58439503&amp;orderby=asc</t>
  </si>
  <si>
    <t>감자튀김</t>
  </si>
  <si>
    <t>힘들었던 일은 치킨으로 잊자! 치킨으로 만들어지는 삼남매 각자의 러브스토리</t>
  </si>
  <si>
    <t>["일상","로맨스","가족코미디","힐링"]</t>
  </si>
  <si>
    <t>날라리</t>
  </si>
  <si>
    <t>https://page.kakao.com/home?seriesId=50391329</t>
  </si>
  <si>
    <t>판매중지 작품</t>
  </si>
  <si>
    <t>길임중 동창회, 모두 상기된 얼굴로 스타 날라리 3인방을 기다린다.
그 이유는 다름 아닌 유명 스타 날라리 3인방 중에 한 명이
전교 왕따였던 도도연과 3년째 연애 중이라는 사실!
심지어 단지, 작은 과자상자 하나로 일어난 사건으로
도도연은 날라리의 표적이 되었고, 그렇게 전교생의 왕따가 되었다.
그러나 배차석은 왕따를 당해도 당당한 도도연에게 미안함을
느끼고 점차 좋아하는 감정을 갖고 진심으로 다가간다.
진심을 전해받은 도도연도 마음을 열게 되고, 둘은 사귀게 되지만 3인방 중 나머지 2명에게 그 사실을 알리기 두려워하는데, 
과연 이 비밀은 끝까지 지켜낼 수 있을까?</t>
  </si>
  <si>
    <t>["로맨스","일상","드라마","학원"]</t>
  </si>
  <si>
    <t>우당탕탕 따식이</t>
  </si>
  <si>
    <t>https://page.kakao.com/content/61440167</t>
  </si>
  <si>
    <t>리메이크 작품</t>
  </si>
  <si>
    <t>이상신, 국중록</t>
  </si>
  <si>
    <t>엄청난 수련을 통해 다양한 고수들을 제치고 정의로운 영웅이 되는 게 목표인 따식이.
하지만 따식이는 정의롭다는 뜻을 새로 재정비하고 병맛으로 접근하며 
웃음을 선사하는 영웅 개그 웹툰</t>
  </si>
  <si>
    <t>["개그","소년","블랙코미디","병맛"]</t>
  </si>
  <si>
    <t>도대체 왜?인구단</t>
  </si>
  <si>
    <t>https://series.naver.com/comic/detail.series?productNo=5936666</t>
  </si>
  <si>
    <t>1980~90년대를 주름잡던 국민 만화의 주인공들이 괴상하게 돌아왔다 !</t>
  </si>
  <si>
    <t>사기캐</t>
  </si>
  <si>
    <t>https://comic.naver.com/webtoon/list?titleId=778410</t>
  </si>
  <si>
    <t>레이저</t>
  </si>
  <si>
    <t>천사와 악마의 아이 하이브리드, 그 중에서도 최고의 혈통을 가진 그랜드 하이브리드는 각성하는 순간 우주를 날려버릴 수 있는 ‘사기캐’ 가 된다는 이야기다.</t>
  </si>
  <si>
    <t>["판타지","개그","소년","액션"]</t>
  </si>
  <si>
    <t>사랑이 커다래</t>
  </si>
  <si>
    <t>계약 종료 작품</t>
  </si>
  <si>
    <t>깜귤</t>
  </si>
  <si>
    <t>어린 9살 소녀 '한다래', 그녀의 소꿉친구인 '박강우',
다래의 짝사랑 남 21살 '박인우', 그의 여자친구 '오세희' 그리고 다래의 오빠 '한신해'
이 다섯 명이 어울리며 일어나는 발랄 명쾌한 일상과
귀여운 삼각관계 위주의 일상 힐링물</t>
  </si>
  <si>
    <t>["일상","컷만화"]</t>
  </si>
  <si>
    <t>스마트 패밀리</t>
  </si>
  <si>
    <t>이철</t>
  </si>
  <si>
    <t>스마트한 것과는 좀 많이 먼 따구의 가족이 보여주는 좌충우돌 병맛 에피소드 일상.
단 4컷 만화로 웃겨주겠어!</t>
  </si>
  <si>
    <t>처음부터 너였어</t>
  </si>
  <si>
    <t>https://www.bomtoon.com/detail/it_was_you</t>
  </si>
  <si>
    <t>https://www.webtoons.com/en/canvas/heaven-sent-/list?title_no=679412</t>
  </si>
  <si>
    <t>- Heaven Sent -</t>
  </si>
  <si>
    <t>피자배달알바생</t>
  </si>
  <si>
    <t>탄산수서빙매니저</t>
  </si>
  <si>
    <t>파트너들마다 비위를 맞추고, 애교를 떨며 그들의 집에 빌붙어 살아가는 섹파 짓도 벌써 몇 년째.
언제나처럼 자신을 재워 줄 사람과의 약속 장소에서 '김서하'
"왜 여기 앉아있어? 못 찾을 뻔 했잖……아?"
학창 시절 여러 의미로 아주 유명했던 같은 반 친구 한재원을 마주하게 된다.
살짝 놀란 서하지만, 재원은 서하를 잘 모르는 것 같다.
그렇다면..
"처음 만났지만, 너네 집까지 잘 부탁해~"
이 좋은 기회를 마다 할 이유는 없지.</t>
  </si>
  <si>
    <t>["BL"]</t>
  </si>
  <si>
    <t>언무드셀라</t>
  </si>
  <si>
    <t>https://page.kakao.com/home/%EC%96%B8%EB%AC%B4%EB%93%9C%EC%85%80%EB%9D%BC/54553280</t>
  </si>
  <si>
    <t>민지 | “영화나 만화 속 주인공들처럼 누군가 나를 재미있는 곳으로 데려가줬으면.”</t>
  </si>
  <si>
    <t>반투명인간</t>
  </si>
  <si>
    <t>https://comic.naver.com/webtoon/list?titleId=710762</t>
  </si>
  <si>
    <t>SNL 코리아→반투명인간…에이스토리, 2021-2023 콘텐츠 1차 라인업 공개 http://m.theceluv.com/article.php?aid=1629854458390626006</t>
  </si>
  <si>
    <t>김명현</t>
  </si>
  <si>
    <t>초능력을 가지고 있다는 이유로 관련기관의 감시를 받지만 정작 어중간한 반쪽짜리 초능력이 자신의 평범한 생활을 방해하는 '애물단지'라고 생각하는 히어로들.
청소년기부터 겪어 온 경쟁사회와 초능력에 대한 자아성찰 그리고 느닷없이 찾아 온 사춘기로 머릿속이 복잡한 이들은, 단 한 가지 이유로 의기투합하여 자신의 반쪽짜리 능력을 발휘하는데 최선을 다한다. 자신을 낳고 기른 부모님이자 자신과 동일한 초능력을 100% 발휘할 수 있는 1세대 영웅을 구하기 위해서이다.
함께 범죄자들을 소탕해가며 그 능력을 온전히 자신의 능력으로 인정하고, 활용하는 방법을 터득하면서 사회의 일원으로 받아들여지는 히어로들의 이야기.</t>
  </si>
  <si>
    <t>["판타지"]</t>
  </si>
  <si>
    <t>소음</t>
  </si>
  <si>
    <t>https://www.bomtoon.com/comic/ep_list/soo_Sound</t>
  </si>
  <si>
    <t>어고</t>
  </si>
  <si>
    <t>어느 날, 복도 밖에서부터 들려오는 정체 모를 소음에 교실을 나선 현은 무용실에서 춤추고 있는 바다를 마주한다.
음악을 껐음에도 불구하고 계속 들려오는 소음을 쫓다가 캐비넷 안에 숨어 있는 현이를 발견하게 된다. 스토커가 따라 붙었다고 생각하면서도 현이를 밀어내지 않는 바다는 어느 새인가 현이 본인에게 특별한 존재가 되었음을 자각한다.</t>
  </si>
  <si>
    <t>토끼는 숨죽여 울고 있었다</t>
  </si>
  <si>
    <t>미묘한 후라이</t>
  </si>
  <si>
    <t>마묘한 후라이</t>
  </si>
  <si>
    <t>잠에서 깨어보니 아무도 없는 학교에 남은 5명의 여학생
이곳에서 벗어나려고 애쓰지만 아무도 나갈 수 없다.
갑자기 토끼 탈을 쓴 누군가가 나타나 한 명씩 여학생을 죽이기 시작하면서 점차 머릿속에서 피어나는 기억들
알고 보니 살아남은 아이는 4명에게 왕따를 당하고 있었고 누군가가 실험을 위해서 살인을 저지르는 것이었다!</t>
  </si>
  <si>
    <t>["공포","스릴러"]</t>
  </si>
  <si>
    <t>NASSA</t>
  </si>
  <si>
    <t>우뚝</t>
  </si>
  <si>
    <t>김흥건</t>
  </si>
  <si>
    <t>서기 2124년 인류는 가상 섹스에만 전념하는 탓에 정자와 난자가 퇴보하면서 임신을 할 수 없는 상태가 되어버린다.
과학자 세르게이가 NASSA라는 우주 항공기지에는 각국에서 선발된 인종, 사이즈, 취향 등으로 구별하여 남녀를 모아 섹스하도록 하여 인류의 성 욕구를 다시 불태우게 된다.</t>
  </si>
  <si>
    <t>["성인","판타지"]</t>
  </si>
  <si>
    <t>희망횟집</t>
  </si>
  <si>
    <t>https://page.kakao.com/home?seriesId=54450885&amp;orderby=desc</t>
  </si>
  <si>
    <t>봉실</t>
  </si>
  <si>
    <t>열심히 취업을 준비하고 있는 '봉실'. 취업이 되기 전까지 엄마가 운영하는 희망횟집에서 알바를 하며 취업 준비를 한다. 봉실이가 횟집 알바를 하면서 겪는 다양한 사건들과 제철 해산물을 맛깔나게 보여주는 국내 최초 제철 해산물 웹툰!</t>
  </si>
  <si>
    <t>["일상"]</t>
  </si>
  <si>
    <t>다 해줄게</t>
  </si>
  <si>
    <t>Y</t>
  </si>
  <si>
    <t>M</t>
  </si>
  <si>
    <t>그녀의 이름은 '다해'. 그녀의 SNS는 야한 사진과 영상.
녹음한 신음소리로 남자들을 자극하여 푹 빠지게 만든다.
비밀 익명 블로그를 통해 ‘다해’ 라는 가명으로 음란하고 방탕한 이중생활을 즐기는 대학생 지수.
진정한 사랑을 깨닫고, 다해로서 삶을 정리하려고 마음먹지만
그녀의 비밀을 알고 있던 남자에 의해 일그러지기 시작하는데...</t>
  </si>
  <si>
    <t>["성인","드라마"]</t>
  </si>
  <si>
    <t>애증과 애정사이</t>
  </si>
  <si>
    <t>https://www.bomtoon.com/detail/hate_love</t>
  </si>
  <si>
    <t>대만, 태국, 스페인 연재</t>
  </si>
  <si>
    <t>부찌</t>
  </si>
  <si>
    <t>악마의 혼혈인 '리스벨'이 수석인
'켄던'의 성적 하락을 위해 과거에 알고 지냈던
몽마 '로베르니아'를 불러내어 놈의 꿈속에 들어가
유혹해서 성적을 떨어뜨려 달라며 계약을 한다.
'로베르니아'는 '켄던'의 꿈 속에 들어가게 되고,
'켄던'이 가장 강렬한 감정을 품고 있는 대상의 모습으로 보여지게 된다.
그런데 계약이 진행된 그 다음 날부터 '켄던'이
'리스벨'을 볼때마다 얼굴을 붉히고 도망치게 된다.
대체 어떤 꿈을 꾸게 되었길래 하루만에
'켄던'의 행동이 변하게 된 걸까?</t>
  </si>
  <si>
    <t>["BL","판타지","성인"]</t>
  </si>
  <si>
    <t>NPC</t>
  </si>
  <si>
    <t>불개미</t>
  </si>
  <si>
    <t>성의 경비병. 가장 먼저 세계가 이상함을 깨닫는다. 멋있어보이는 말을 자주 한다.</t>
  </si>
  <si>
    <t>멜랑꼴리</t>
  </si>
  <si>
    <t>비타민</t>
  </si>
  <si>
    <t>총 6,000편의 섹시 코미디 에피소드 &lt;멜랑꼴리&gt;
냥이와 멍이가 보여주는 발칙하고 아찔한 섹시 코미디</t>
  </si>
  <si>
    <t>["코미디","에피소드"]</t>
  </si>
  <si>
    <t>럭키고 해피</t>
  </si>
  <si>
    <t>https://series.naver.com/comic/detail.series?productNo=5882935</t>
  </si>
  <si>
    <t>아버지를 잃고 적막한 집 안에 사고뭉치 ‘럭키’가 나타났다!
강아지의 강자도 모르는 가족이 보여주는 찡한 반려견 드라마</t>
  </si>
  <si>
    <t>탈대전</t>
  </si>
  <si>
    <t>https://bufftoon.plaync.com/series/1010114</t>
  </si>
  <si>
    <t>밍뉴</t>
  </si>
  <si>
    <t>탈춤이 유행을 하던 조선시대 후기.
하지만 어느 날, 탈에서 신기한 능력이 발현되기 시작한다?  
마을 사람들에게 멸시를 받던 보잘 것 없는 소년 '신우'도 
탈의 힘으로 새로운 전투 능력을 가지게 된다.
이날 이후로 조선에서는 능력을 부르는 탈을 뺏고, 뺏기지 않기 위한
치열한 전투가 본격적으로 시작된다!</t>
  </si>
  <si>
    <t>["소년","동양판타지","성장물"]</t>
  </si>
  <si>
    <t>전처와의 동거</t>
  </si>
  <si>
    <t>https://toptoon.com/comic/ep_list/ex_wife/?p_id=adp66&amp;_code=3336061</t>
  </si>
  <si>
    <t>탑툰 구독자 1000만+</t>
  </si>
  <si>
    <t>검은토끼</t>
  </si>
  <si>
    <t>이대팔</t>
  </si>
  <si>
    <t>"마지막인데 섹스나 하러 갈까?"
계속되는 불협화음에 지쳐 이혼을 택한 아나운서 '차가은'과 의사 '하태오'. 법원으로 가는 길에 아내에게 던진 한 마디로 인해 두 사람의 관계에 새로운 불씨가 타오르게 된다.</t>
  </si>
  <si>
    <t>["성인"]</t>
  </si>
  <si>
    <t>도문대작</t>
  </si>
  <si>
    <t>Wooz</t>
  </si>
  <si>
    <t>유승진</t>
  </si>
  <si>
    <t>역적으로 몰리게 된 허균, 정치적 음모에 음식으로 대적하다!
허균은 그의 절친을 찾아갔지만 친구는 세상을 뜨고 딸만이 그를 반길 뿐이었다. 친구의 딸인 은옥은
요리에 천재적인 능력을 발휘하는 걸 알게 되고, 함께 정치적 음모를 헤쳐 나가게 된다.</t>
  </si>
  <si>
    <t>["시대"]</t>
  </si>
  <si>
    <t>끝과 시작</t>
  </si>
  <si>
    <t>오메가슬이</t>
  </si>
  <si>
    <t>2016년의 어느 날 전화벨이 울리고,
전화 속 이름 때문에 문득 10대 시절의 과거를 떠올린다.
과거부터 이어진 그들의 이야기</t>
  </si>
  <si>
    <t>날 만나러 가요</t>
  </si>
  <si>
    <t>포동</t>
  </si>
  <si>
    <t>소심하고 수동적인 여자주인공 '포동' 은 회사를 그만두고 난 후 예전부터 마음 속으로만 생각했었던 여행을 계획한다.</t>
  </si>
  <si>
    <t>["힐링","여행"]</t>
  </si>
  <si>
    <t>조선팔도 최강아이돌</t>
  </si>
  <si>
    <t>서비스 종료</t>
  </si>
  <si>
    <t>햄쥐주먹</t>
  </si>
  <si>
    <t>가난한 소녀 ‘세현’은 산행을 갔다가 낯선 남자에게 도움을 받게 된다. 알고 보니 그 남자는 구미호!? 구해준 대가로 정기를 요구하는데, 세현은 이걸 빌미로 정기를 주고, 구미호를 되려 부려먹기로 결심한다. 이 때 큰 돈을 벌 수 있는 조선 최강의 남자아이돌 대회가 열리는데, 여자인 세현은 남장을 하고 구미호와 함께 참가하게 되는데!</t>
  </si>
  <si>
    <t>절하는 강아지</t>
  </si>
  <si>
    <t>두 앞발이 없어서 절할 수 밖에 없는 강아지 사랑이.
부모님 없이 할머니와 함께 지내는 세 아이들은 가난한 가정환경이지만 사랑을 주고 받는 법을 잘 알고 있다. 더불어 장애견이지만 최선을 다해 사랑이와 함께 살면서 일어나는 코 끝이 찡한 가슴 따뜻한 가족애를 보여준다.</t>
  </si>
  <si>
    <t>죽은 자를 상대하는 방법</t>
  </si>
  <si>
    <t>https://www.bomtoon.com/comic/ep_list/death_man</t>
  </si>
  <si>
    <t>내똥은참외</t>
  </si>
  <si>
    <t>하루 아침에 모두가 좀비가 된 세상에서 살아남아야 한다.
젊은이들이 힘을 모아  좀비를 무찌를 계획을 세워보지만, 결국에는 서로의 이기심 만을 확인한 채 실패한다. 
악화되는 상황 속에 좀비는 변이되고,  급기야는 지능적으로 사람들은 공격하게 되고, 점차 희망을 잃게 된다.
‘기준’은 아래층에 어린 소녀가 살아있다는 것을 알게 되고, 소녀를 구하기 위해 3년 만에 처음 문 밖으로 나선다.</t>
  </si>
  <si>
    <t>["스릴러","좀비"]</t>
  </si>
  <si>
    <t>전 여친</t>
  </si>
  <si>
    <t>https://toptoon.com/comic/ep_list/ex_girlfriend_comic_fa</t>
  </si>
  <si>
    <t>탑툰 구독자 850만+</t>
  </si>
  <si>
    <t>말랑</t>
  </si>
  <si>
    <t>도쿠하쿠</t>
  </si>
  <si>
    <t>진심으로 사랑했던 여자친구, 남주리. 2년 전 갑자기 떠나버린 그녀가 회사 선배의 약혼녀로 눈 앞에 나타났다. 우연히 집으로 초대받게 된 수한에게 주리는 점점 다가오고, 설상가상으로 회사 동기 '아영' 또한 도발적인 섹시미로 밀어붙인다.
수한은 과연 두 여자 중 누구를 선택하게 될까?</t>
  </si>
  <si>
    <t>에버그린</t>
  </si>
  <si>
    <t>https://www.bomtoon.com/detail/Evergreen</t>
  </si>
  <si>
    <t>- 봄툰 요일 웹툰 3위 - 태국, 북미 연재</t>
  </si>
  <si>
    <t>수르야가 훔쳤던 보석 에스텔라까지 훔치는 데에 성공했지만 스파이임이 발각되어 도주 중인 ‘해럴드’
어쩌다 차원의 문을 열고 ‘서진’이 살고 있는 현대의 대한민국에 오게 된다.
상황파악이 되지 않는 해럴드는 도주할 때부터 환각제에 취했기 때문에 정신력으로 버티다가              자신을 구해준 ‘서진’을 보자마자 기절한다.
환각에 취해 자신의 약혼자와 서진을 겹쳐보게 되고, 둘이서 몸을 섞게 된다.
다음 날, 해럴드는 기억도 못하지만, 서진 홀로 생각나고 신경 쓰여 어떻게든 그를 붙잡고                동거를 시작하게 된다.</t>
  </si>
  <si>
    <t>["BL","성인","판타지"]</t>
  </si>
  <si>
    <t>아는 사람 이야기</t>
  </si>
  <si>
    <t>https://www.bomtoon.com/detail/AnunSaram</t>
  </si>
  <si>
    <t>https://www.webtoons.com/en/canvas/fafetfup-08051216-1305-12151920-1915211219/list?title_no=596062</t>
  </si>
  <si>
    <t>FaFETfUP - 08051216, 1305 - 12151920 1915211219</t>
  </si>
  <si>
    <t>북미, 중국, 일본 연재</t>
  </si>
  <si>
    <t>이승연(서랭)</t>
  </si>
  <si>
    <t>최현희(온우주)</t>
  </si>
  <si>
    <t>사람들은 자신의 비밀을 이렇게 꺼내놓곤 한다. 스스로를 이야기의 ‘주인공’이 아닌 ‘엑스트라’로 내세워서.</t>
  </si>
  <si>
    <t>전체이용가
(외전: 성인)</t>
  </si>
  <si>
    <t>후드</t>
  </si>
  <si>
    <t>https://comic.naver.com/webtoon/list?titleId=812383</t>
  </si>
  <si>
    <t>오직 인싸가 되는 것만이 관심사인 평범한 고등학생 김혁.친구들의 관심이 너무 고파 중고거래로 얻은 후드를 입었는데, 어? 이게 뭐야??괴상한 능력이 내 몸을 감싸고, 내 몸이 공중에 떠오르며…나에게 하늘을 날 수 있는 초능력이 생겼다!!!고대신의 힘을 가진 전설의 힘 샥티가 깃든 후드를 입고K-슈퍼패션고딩히어로가 된다!!TOP</t>
  </si>
  <si>
    <t>["판타지","소년","액션"]</t>
  </si>
  <si>
    <t>Day Or Night</t>
  </si>
  <si>
    <t>https://series.naver.com/comic/detail.series?productNo=10098140</t>
  </si>
  <si>
    <t>백만보</t>
  </si>
  <si>
    <t>마물만 우대하는 더러운 세상, 인간 실업 100만시대!
취업준비생 ‘박연’
남들처럼 학교 다니고, 남들처럼 대학 가고, 남들처럼 연애하고
남들처럼 취직을 해야할 시기가 다가왔으나..
마법 능력, 종족 특성 하나 없는 피라미드 최하층 인간에게 
취직하기란 하늘의 별따기보다 어려운 상황.
유일하게 기댈 곳 이라고는
나를 세상에서 제일 좋아해주는 여자친구 ‘지유’ 뿐.
그런데 하루 아침에 내 여자친구가 마왕이 되었다?</t>
  </si>
  <si>
    <t>겨우내</t>
  </si>
  <si>
    <t>https://www.bomtoon.com/detail/gyeounae</t>
  </si>
  <si>
    <t>벌래</t>
  </si>
  <si>
    <t>사해</t>
  </si>
  <si>
    <t>여자친구가 실종되자 우울증에 못 견뎌 자살을 결심하고 산으로 들어간 남자 '리'.
눈보라 속에서 죽을 줄 알았던 자신을 구해주고는 첫눈에 반했다며 관계를 요구하는 남자 '빈세트'.
그 둘은 눈보라 속에 갇힌 산장에서 동거를 시작한다.</t>
  </si>
  <si>
    <t>["BL","스릴러"]</t>
  </si>
  <si>
    <t>무식아</t>
  </si>
  <si>
    <t>https://series.naver.com/comic/detail.series?productNo=1863375</t>
  </si>
  <si>
    <t>갓 성인이 된 주인공 한무식과 그의 가족, 그리고 주변 사람들로부터 벌어지는 반전 슬랩스틱 코미디!
‘웃지 않는 개그반’의 토대가 된 에피소드 개그 만화</t>
  </si>
  <si>
    <t>["개그","에피소드"]</t>
  </si>
  <si>
    <t>드리밍</t>
  </si>
  <si>
    <t>https://series.naver.com/comic/detail.series?productNo=3155964</t>
  </si>
  <si>
    <t>달짱</t>
  </si>
  <si>
    <t>20대 후반, 일도 사랑도 모두 엉망이 되어버린 가영
8년 사귄 남자친구 성준에게 헤어지자는 통보를 받고 울다 잠들었다 8년 전 고등학생 때의 모습으로 눈을 뜬다. 
꿈일까 현실일까? 
이번에는 일도 사랑도 모두 얻을 수 있을까?</t>
  </si>
  <si>
    <t>봄과 겨울</t>
  </si>
  <si>
    <t>https://ridibooks.com/books/3097000560?type=rent#formSeriesList</t>
  </si>
  <si>
    <t>https://www.webtoons.com/en/canvas/no-cherry-picking/list?title_no=131630</t>
  </si>
  <si>
    <t>No Cherry-Picking!</t>
  </si>
  <si>
    <t>채담</t>
  </si>
  <si>
    <t>어떻게든 전 여친을 잡기 위해 흑역사를 생성할만한 내용의 
카톡을 어이없는 실수로, 동명이인인 같은 반 사회성 제로 싸가지 ‘도영’에게 
잘못 보내게 되고 아웃팅 위기에 처한 평범한 고등학생 레즈 정윤의 뻘짓과 
노력 끝에 새로운 사랑을 얻어내는 정윤의 이야기.</t>
  </si>
  <si>
    <t>["GL","개그","학원"]</t>
  </si>
  <si>
    <t>무능한 아빠는 외계인</t>
  </si>
  <si>
    <t>https://page.kakao.com/home?seriesId=54245289</t>
  </si>
  <si>
    <t>영상 판권 계약 완료</t>
  </si>
  <si>
    <t>이태하</t>
  </si>
  <si>
    <t>지구에 정탐을 온 두 외계인은 불의의 사고로 본부와 연락이 끊겨 지구인으로서 십수 년을 지낸다.
그러는 동안 둘 사이엔 딸이 태어나 중2가 되었고, 아빠 외계인은 회사에서도 집에서도 무시를 당한다. 군인으로서 존경 받던 고향에서의 삶을 늘 그리던 아빠는 어느 날 본부의 연락을 받고 한 달 뒤에 가족을 데리러 오기로 하지만 귀환을 거부하는 딸의 반대에 부딪힌다.
아빠는 남은 한 달간 딸이 ‘지구를 떠나고 싶게’ 만들려고 한다.</t>
  </si>
  <si>
    <t>["드라마","성장"]</t>
  </si>
  <si>
    <t>겁쟁이 피지컬</t>
  </si>
  <si>
    <t>https://page.kakao.com/home?seriesId=58357162&amp;orderby=desc</t>
  </si>
  <si>
    <t>이보카도</t>
  </si>
  <si>
    <t>초급사제 심우준은 악령의 씨앗이 생긴 일진 무리들에게 구마의식을 하기 위해 자신의 정체를 숨기고 찐따 및 빵셔틀 역할을 하며 잠입 수사를 하고 있는데 
악령으로 변한 일진이 너무 강력해서 당하려는 순간, 손쉽게 제압해 버리는 먼치킨 기도제와 무속인 진효정이 만났다!
종교 대통합 구마사들의 사탄 부활을 막는 학원 액션 판타지</t>
  </si>
  <si>
    <t>["소년","액션"]</t>
  </si>
  <si>
    <t>팬 픽션</t>
  </si>
  <si>
    <t>https://www.bomtoon.com/detail/fan_fiction</t>
  </si>
  <si>
    <t>취록</t>
  </si>
  <si>
    <t>드럼</t>
  </si>
  <si>
    <t>성인물 BL 웹소설가 공찬혁은 작품에 대한 드라마 제작 제의를 받게 된다.
평소 작품이 영상화 되기를 원치 않았던 찬혁은 탐탁치 않았으나 미팅만 해보자는 제안에 해당 장소로 향하고 그곳에서 주연을 맡게 될 천만배우 이혁수를 마주한다.
평소 혁수의 열성 팬이었던 찬혁. 그리고 상상으로 반찬삼은 당사자가 눈 앞에 있다는 사실에 크게 당황한 나머지 혁수가 집으로 놀러오겠다는 말을 허락해 버리면서 과거에 혁수로 쓴 숭한 팬픽 내용을 들키게 되는데…
그러나 혁수는 의외의 제안을 하게 된다.
"이대로 해볼까요?"</t>
  </si>
  <si>
    <t>["BL","개그"]</t>
  </si>
  <si>
    <t>루나</t>
  </si>
  <si>
    <t>홍비치라</t>
  </si>
  <si>
    <t>어릴 적 사고로 부모님을 잃은 뒤, 국민 아이돌 '한류'의 곁을 지켜주는 건 애완 늑대 '루나' 뿐이다. 그러던 어느 날, '루나'가 인간으로 변하는데... 그녀는 10년간 인간의 사랑을 받으면 인간으로 변할 수 있는 '월랑족'이었던 것이다.
그리고 또 다른 월랑족 늑대가 연쇄살인을 일으키는 것을 함께 막아내면서 두 사람 사이의 사랑도 점점 깊어져 가기 시작한다.</t>
  </si>
  <si>
    <t>틈 (엿보기)</t>
  </si>
  <si>
    <t>정문근</t>
  </si>
  <si>
    <t>사소한 단 한 번의 행동이 불러온 비극
매사가 아홉수 인생인 덕수.
연애 첫 날이 이별한 날이 되는 지지리 운도 없는 호구 인생.
우연히 생긴 틈 사이를 보니 옆집에 베이글녀가 산다!
큰 맘 먹고 집 청소를 한 날 우연히 생긴 틈.
그 틈을 통해 옆집의 베이글녀(가희)의 환상적인 몸매를 보게되고, 그렇게 훔쳐보는 기쁨?도 잠시...
며칠 뒤 그녀(가희)의 집에 강도가 들게 되고, 강도로부터 그녀를 구하게 되는 덕수.</t>
  </si>
  <si>
    <t>페이트</t>
  </si>
  <si>
    <t>https://www.blice.co.kr/web/detail.kt?novelId=72323</t>
  </si>
  <si>
    <t>진욱</t>
  </si>
  <si>
    <t>민구</t>
  </si>
  <si>
    <t>타인의 수명을 볼 수 있는 능력을 가진 이안은 부모님의 죽음 앞에서도 아무것도 할 수 없던 자신을 탓하며 철저하게 혼자의 삶을 선택하게 된다.
그러던 이안 앞에 나타나 죽음이 얼마 남지 않은 나영, 그녀를 보고도 모른 척하지만 나영이 이안의 카페에 취직하게 되면서 외면할수록 지독하게 엮이게 된다.</t>
  </si>
  <si>
    <t>데드라이프</t>
  </si>
  <si>
    <t>https://series.naver.com/comic/detail.series?productNo=3512644</t>
  </si>
  <si>
    <t>임진국</t>
  </si>
  <si>
    <t>성훈은 좀비들을 ‘신인류’라 칭하며, 그들의 왕이 되어 새로운 세계를 창조하기 시작한다.</t>
  </si>
  <si>
    <t>운영자의 권한으로</t>
  </si>
  <si>
    <t>https://page.kakao.com/home?seriesId=57672662</t>
  </si>
  <si>
    <t>카카오페이지 구독자 22.1만</t>
  </si>
  <si>
    <t>시혜</t>
  </si>
  <si>
    <t>누구나 인정하는 한국 남자아이돌의 전설 ‘차운영’!
가창력, 연기력, 안무 실력, 예능감, 그리고 사생활까지 완벽한 운영에게는 딱 한 가지 비밀이 있다.
학창시절, 105kg 몸무게의 음침하고 존재감 없던 학생이자 당시 아이돌이었던 ‘주신혜’의 팬카페 운영자였다는 것.
“운영자님… 어떤 분일까? 중년이시겠지?”
“최소 애아빠다. 말투가 대박 근엄하시잖아~”
운영의 진지하고 차분한 성격 탓에 팬카페 회원들은 그를 중년으로 오해하고…
덕분에 아이돌이라는 정체는 철저하게 감추어지고 있다!
한편, 가상결혼 예능 프로그램에서 만난 파트너 ‘유예슬’은 독특한 분위기의 가상 남편 운영에게 호감을 갖기 시작하는데…</t>
  </si>
  <si>
    <t>["소년","스릴러"]</t>
  </si>
  <si>
    <t>Luck 4 you</t>
  </si>
  <si>
    <t>조9</t>
  </si>
  <si>
    <t>대학생이 된 ‘인훈’ 앞에 가출했던 반려견 ‘포포’가 사람의 모습으로 나타났다! 하지만 인간 관계에 트라우마가 있어 남들과 거리를 두던 인훈에게 갑자기 나타난 인간이 된 포포는 너무나도 당혹스럽다. 게다가 ‘포포’의 영혼이 들어간 몸은 알고 보니 인훈의 중학생 때 절친이었지만 오해와 다툼으로
멀어졌던 ‘이주’의 몸이었다. 과연 이 둘의 운명은…</t>
  </si>
  <si>
    <t>["판타지","드라마"]</t>
  </si>
  <si>
    <t>웃지 않는 개그반</t>
  </si>
  <si>
    <t>https://comic.naver.com/webtoon/list?titleId=503253</t>
  </si>
  <si>
    <t>발레복을 입은 담임부터 흑인인 국사선생님까지 그들이 겪는 웃지 못 할 이야기가 펼쳐진다.</t>
  </si>
  <si>
    <t>["개그"]</t>
  </si>
  <si>
    <t>우주를 9번 건너</t>
  </si>
  <si>
    <t>https://series.naver.com/comic/detail.series?productNo=6136190</t>
  </si>
  <si>
    <t>그냥연어</t>
  </si>
  <si>
    <t>‘산신’ 묘운의 힘으로 인해 9번의 환생 끝에 인간으로 태어난 ‘섬옥’은 악귀에게 목숨을 위협 받게 되고, 그것을 막기 위해 수백 년 간 섬옥의 곁을 지켜온 묘운은 ‘지섬옥 무병장수 프로젝트’를 위해 섬옥이 다니는 학교의 학생으로 잠입하게 된다.섬옥이 악귀들에게 목숨을 위협 받고 있는 이유는 무엇이며 , 왜 산신 묘운은 끝까지 섬옥을 지켜내려 하는 것일까?TOP</t>
  </si>
  <si>
    <t>["개그","일상","판타지","성장","스토리","로맨스","학원"]</t>
  </si>
  <si>
    <t>소녀히어로</t>
  </si>
  <si>
    <t>https://series.naver.com/comic/detail.series?productNo=10647220</t>
  </si>
  <si>
    <t>소구미</t>
  </si>
  <si>
    <t>토리</t>
  </si>
  <si>
    <t>전교 꼴등 여고생이 하루 아침에 지구의 종말을 막을 유일한 지구 최강 히어로가 된다!
100일 뒤, 지구가 멸망한다는 사실을 알게 된 히어로들.
99퍼센트의 히어로 백만명보다 100퍼센트의 히어로 하나만이 그 종말을 막을 수 있다는 계시를 받고 모든 히어로들의 힘을 받아들일 수 있는 특별한 히어로에게 힘들 전달하기로 하는데…
뜻하지 않은 힘을 받아버렸지만 학교 선배 ‘강신’ 마음에 들기 위해 
히어로가 되겠다고 선언한, 사명감 따위 하나도 없어 보이는 엉뚱한 소녀 ‘시아’.
과연 우리는 지구를 지킬 수 있을까?</t>
  </si>
  <si>
    <t>["판타지","성장","학원"]</t>
  </si>
  <si>
    <t>옆집 형</t>
  </si>
  <si>
    <t>https://ridibooks.com/books/3097001408?_s=search&amp;_q=옆집+형&amp;_rdt_sid=search&amp;_rdt_idx=0</t>
  </si>
  <si>
    <t>해나</t>
  </si>
  <si>
    <t>6년간의 짝사랑을 포기하기 위해 충동적으로 게이 어플에서 원나잇 영상을 올리는 네임드 유저를 만나는 서윤.
하지만 눈앞에 나타난 것은 짝사랑 하는 형, 도진이었다.
철저한 관리로 이중생활을 이어오던 도진은 서윤에게 정체를 들키고,
서윤은 이 기회를 놓치지 않기 위해 도진의 섹스 파트너가 되고 싶다고 당당하게 말한다.
"형, 저랑은 섹스하는 거 싫으세요?"</t>
  </si>
  <si>
    <t>해금</t>
  </si>
  <si>
    <t>https://toptoon.com/comic/ep_list/removing</t>
  </si>
  <si>
    <t>구독자 2667만+</t>
  </si>
  <si>
    <t>여자밖에 없는 집에서 간병일을 하게 된 유일한 남자 ‘영희’.
갑자기 찾아온 낯선 남자로 인해 두 자매의 은밀한 그 곳이 열린다.
언니와 동생 사이에서 본능 앞에서 흔들리는 영희와 그런 영희를 바라보며 알 수 없는 흥분에 소용돌이로 빠져들어가는데...
금지된 곳에서 몰래 일어나는 친 자매의 은밀하고 섹슈얼한 이야기</t>
  </si>
  <si>
    <t>["성인","치정","멜로"]</t>
  </si>
  <si>
    <t>세렌디피티</t>
  </si>
  <si>
    <t>https://www.bomtoon.com/detail/tfevx</t>
  </si>
  <si>
    <t>주요</t>
  </si>
  <si>
    <t>잇뚜</t>
  </si>
  <si>
    <t>색맹으로 태어났지만, 좋아하는 사람이 생기면 그 사람과 관련된 모든 색을 볼 수 있는 능력을
가지고 있는 ‘수아’. 또한 ‘은우’ 역시 색맹이지만 수아를 통해 색을 보고, 흑백 세상에서 서로를 통해
따뜻한 색들로 채워져 간다.</t>
  </si>
  <si>
    <t>영의 확률</t>
  </si>
  <si>
    <t>https://ridibooks.com/books/3097001359</t>
  </si>
  <si>
    <t>밥다오</t>
  </si>
  <si>
    <t>인생을 짓밟은 '김태수'의 흔적을 쫓아 식당으로 향하는 '허석주'
깜깜한 밤, 식당 문을 닫으려던 승우는 처음 보는 석주에게 친절을 베풀다 못해
머물 곳이 없는 석주를 흔쾌히 집으로 들인다.
'김태수와 임승우가 형제다..?'
태수가 승우에게 욕정을 품고 있는 것을 알게 된 석주는 복수를 위해 승우를 이용하려 하지만 착해빠진 승우에게 자꾸만 눈이 간다.</t>
  </si>
  <si>
    <t>홈파이브(HOME5)</t>
  </si>
  <si>
    <t>https://ridibooks.com/books/3097000733?_s=search&amp;_q=홈파이브&amp;_rdt_sid=search&amp;_rdt_idx=0</t>
  </si>
  <si>
    <t>서랭</t>
  </si>
  <si>
    <t>온우주</t>
  </si>
  <si>
    <t>취미는 쇼핑에, 특기는 언박싱. 오늘만 사는 ‘서도하’. 
추운 겨울, 집에서 쫓겨난 그는 대학 후배인 우재에게 셰어하우스 &lt;HOME5&gt;를 소개 받는다. 인☆에 올라올 법한 예쁜 카페, 모던한 집 인테리어! 바로 계약서에 도장을 찍고 보니,
응? 집주인 이름이.... 오시운?
서로에게 첫사랑인 두 사람의 이야기가 다시 시작된다.</t>
  </si>
  <si>
    <t>텍미하이(Take me high)</t>
  </si>
  <si>
    <t>https://ridibooks.com/books/3097001541?_rdt_sid=webtoon_bl_ai_recommendation&amp;_rdt_idx=0</t>
  </si>
  <si>
    <t>이룩</t>
  </si>
  <si>
    <t>"나 알아?"
"그냥 알기만 할까."
3년 전 자신에게 실연의 고배를 마시게 한 범인(?) 유일을 다시 마주친 온리원.
일을 마음에 들어하지 않던 리원은 제게 관심을 보이는 일 앞에서 번호를 차단해버린다.
살면서 단 한 번도 거부 당한 적 없던 일은
자신에게 차갑게 대하는 리원에게 오기가 생기고 끈질기게 쫓아다닌다.
그 결과 먹고 떨어지란 이상한 오해로 관계를 가진 두 사람.
그후 더 이상 얽히지 않으려 했지만 리원이 실수로 일의 과제를 망가뜨려 버리고,
이때다 싶은 일은 리원과의 접점을 위해 졸업 과제 모델로 서주길 제안한다.
"누드로 피아노 연주를 하라고...?"
귀여워! 알면 알수록 차가운 모습과 달리 귀여운 모습이 많은 리원에 속절없이 빠져드는 일.
성격부터 취향까지 다르지만 에너지 넘치는 일에 점차 스며드는 리원.
졸업반 신분임에도 각자의 사정으로 학업과 거리를 두고 있던 두 사람은
서로가 서로에게 자극이 되고 함께 하는 날이 잦아질수록 점점 마음이 커져간다.</t>
  </si>
  <si>
    <t>19세 이용가</t>
  </si>
  <si>
    <t>["BL","캠퍼스"]</t>
  </si>
  <si>
    <t>꽃에 피는 봄</t>
  </si>
  <si>
    <t>돌돌</t>
  </si>
  <si>
    <t>온징</t>
  </si>
  <si>
    <t>무대 위 트라우마 때문에 생긴 타인의 마음의 소리를 들을 수 있게 된 ‘도 윤’과 그를 몰래 짝사랑했던 '정수아'는 고등학생이 되어 재회하게 된다.
그런 수아를 몰랐던 윤은 유일하게 수아의 마음 소리가 들리지 않고, 수아를 통해 점차 트라우마를 고치게 된다.</t>
  </si>
  <si>
    <t>나 홀로 섬에</t>
  </si>
  <si>
    <t>https://series.naver.com/comic/detail.series?productNo=6393990</t>
  </si>
  <si>
    <t>짱9</t>
  </si>
  <si>
    <t>신갓김치</t>
  </si>
  <si>
    <t>가족과 섬으로 캠핑을 온 '지오'
즐거울 것만 같았던 캠핑 날, 폭풍우를 만난 가족은 그 곳에 발을 들일 수 밖에 없었다.
폭풍우로 인해 유일하게 사람이 사는 펜션에서 숙식을 해결하기로 하는데..
곧이어 닥쳐오는 불길한 사건 사고들
이곳에 있는 모든 인간들이 수상하다..!
과연 음산한 펜션에서..
끔찍한 이 무인도에서..
지오와 가족들은 살아서 나갈 수 있을까?</t>
  </si>
  <si>
    <t>아임 펫!</t>
  </si>
  <si>
    <t>https://page.kakao.com/home?seriesId=49713363&amp;orderby=desc</t>
  </si>
  <si>
    <t>카카오페이지 시즌4 연재 
카카오페이지 구독자 65만 명 
피키캐스트 피키툰 간판 캐릭터</t>
  </si>
  <si>
    <t>탐이부</t>
  </si>
  <si>
    <t>말하는 개 '안토니오' 와 30살 미혼녀 '아임'의 위험한 동거가 시작된다.
아임이를 지켜주는 안토니오의 모습에 심쿵하며 둘의 우정과 위로를 보여주는 판타지 드라마
시즌 1
33살 회사원 ‘아임’의 무료한 일상에 느닷없이 등장한 말하는 엽기 개.
말하는 개 안토니오와 소심한 아임이가 동거하면서 생기는 포복절도 에피소드
시즌 2
‘어서오십견’에 반려견 소통사로 취직한 안토니오는 사람들과 반려견들 사이에서 통역사 역할을 하며 그들의 갈등을 해결한다.
시즌 3
안토니오는 개가 아니라 사실 사람이었다!?
안토니오와 아임이가 만날 수 밖에 없었던 비밀스러운 과거가 점점 밝혀지는데!
시즌 4
과거의 아임이를 만나기 위해 타임슬립한 안토니오!
과거에 외톨이었던 아임이를 옆에서 소울 메이트처럼 보살펴준다.</t>
  </si>
  <si>
    <t>["코미디","반려견"]</t>
  </si>
  <si>
    <t>주작학원</t>
  </si>
  <si>
    <t>https://page.kakao.com/content/61615337</t>
  </si>
  <si>
    <t>CJ ENM &lt;조작된 도시&gt; 영화 원작
2024년 드라마화 확정</t>
  </si>
  <si>
    <t>기득권층들의 파렴치한 비리들을 주작하여 사회적약자들에게 억울한 누명을 씌우는 일명 '조각사업', 진영이의 소박하고도 화목한 가정은 그 타겟이 되면서 삶이 주작당한다.그러나 진영이에게는 차선책이 있다. 주작은 주작으로, 진영과 친구들은 반격을 개시한다.TOP</t>
  </si>
  <si>
    <t>["드라마","학원","액션"]</t>
  </si>
  <si>
    <t>데이 세이 헤이</t>
  </si>
  <si>
    <t>어택</t>
  </si>
  <si>
    <t>일하기 싫은 아빠, 데이. 회사인이라면 모두 공감할 법한 이야기를 살고 있는 데이는 어쩐지 귀여워 보이기도 한다.</t>
  </si>
  <si>
    <t>2차원 개그</t>
  </si>
  <si>
    <t>마인드c</t>
  </si>
  <si>
    <t>네 컷도 너무 많다! 상식 파괴 초슬림 두 컷 개그툰!
단 두 컷이지만 전혀 생각하지 못했던 작가만의 발상이 아주 평범한 일상도 배꼽 떨어지는 개그로 바뀌어버린다!
첫 컷을 보고 다음 상황이 어떻게 전개될 지 다같이 머리 모아 고민해도 하루가 부족하다.</t>
  </si>
  <si>
    <t>지구의 주인과 시녀가 된 나</t>
  </si>
  <si>
    <t>https://series.naver.com/comic/detail.series?productNo=4020938</t>
  </si>
  <si>
    <t>워경준</t>
  </si>
  <si>
    <t>캣미로</t>
  </si>
  <si>
    <t>자칭 '지구의 주인'. 전세계적인 골칫덩이. 아무데나 들어가서 집주인 행세를 하고 염력으로 차를 박살내기도 하지만, 경찰도 군인도 감옥도 아무도 그를 막을 수 없다!</t>
  </si>
  <si>
    <t>영블러드</t>
  </si>
  <si>
    <t>https://www.bomtoon.com/detail/young_blood</t>
  </si>
  <si>
    <t>다와서</t>
  </si>
  <si>
    <t>고등학생 시절, 연우의 어머니는 지긋지긋한 연우네 가족을 벗어나 재혼을 해 우혁의 새엄마가 되었다.
돈이 없어 컵라면에 김밥도 먹지 못하는 연우가 현실이 벅차 엄마에게 도움을 청하지만, 돌아온 것은 명확히 그어지는 그들간의 경계선 뿐.
엄마와 남이 되어버린 연우는 자신을 보며 얼굴을 붉히는 우혁을 이용해 그들에게 복수를 다짐하게 된다.
성인이 된 후, 친구를 통해 오랜만에 재회하게 된 우혁과 연우.
연우의 끈질긴 노력으로 둘은 자꾸만 마주치게 되고, 술에 취한 우혁의 힘으로 둘은 첫날밤을 보내게 된다.
연우는 찍어둔 사진을 걸고 태연하게 우혁을 협박하며, 지난 시간 쌓여온 상처에 대한 복수를 시작하려 한다.</t>
  </si>
  <si>
    <t>한 번도 상처받지 않은 것처럼</t>
  </si>
  <si>
    <t>https://page.kakao.com/home?seriesId=52030547</t>
  </si>
  <si>
    <t>김용용</t>
  </si>
  <si>
    <t>대학 첫 CC가 좋지 않게 끝난 '이지'는 연애에 대해 부정적으로 변하고, 동아리 생활에만 몰두를 하게 된다.
하지만 동아리 선배인 '표선우'와 함께 지내다 보니 점점 끌리지만 이전 CC 생활이 떠오르면서 그를 피하게 된다.
이 둘은 과연 CC가 될 수 있을까?</t>
  </si>
  <si>
    <t>["일상","로맨스","드라마","성장","스토리"]</t>
  </si>
  <si>
    <t>아스라이</t>
  </si>
  <si>
    <t>예환</t>
  </si>
  <si>
    <t>치매에 걸린 엄마와 그런 엄마의 대한 미안함으로 치매 요양사가 된 딸 은자
더 이상 자신과 같은 후회가 남지 않길 바라는 마음으로 치매 가정에 보탬이 되고자 한다.
하루 하루를 살아가는 치매 요양사와 점차 소중한 이들에 대한 기억을 잃어가는 누군가의 어머니이자 아버지의 대한
애처로운 마음을 담고 있는 이야기</t>
  </si>
  <si>
    <t>["드라마","가족"]</t>
  </si>
  <si>
    <t>네버마인드달링</t>
  </si>
  <si>
    <t>https://ridibooks.com/books/3097000810</t>
  </si>
  <si>
    <t>피버</t>
  </si>
  <si>
    <t>동기들과 미친듯이 술을 마시고 집에 돌아와 잠이 들었던 날. 자신과 ‘서진’이 고등학생 때 
입 맞췄던 그 날 일들이 꿈에 나오게 되고,  왜 갑자기 고등학생 때 분위기에 휩쓸려 저지른
‘실수’가 꿈에 나온 것인지, 연애를 너무 오래 쉰 것 같다고 생각하는 ‘다운’은 과실에서 보기 
껄끄러운 ‘서진’을 마주친다.
그리고, 평소와 달리 유난히도 자신을 찾아오는 서진에 괜히 찔리는 듯 
자신이 무슨 실수를 했냐며 추궁을 했지만, 돌아오는 ‘서진’의 대답은 그저 키스를 했다는 대답뿐.
오랜 친구 관계였다가 갑자기 저런 행동을 보이는 이유는 무엇이고 무슨 마음으로 다운에게
들이대는 것일까?</t>
  </si>
  <si>
    <t>빨강</t>
  </si>
  <si>
    <t>- 네이버시리즈 구독자 9만 명</t>
  </si>
  <si>
    <t>7년이라는 시간 동안 연애 중인 다슬은 반복되는 다툼과 소통의 부재로 서로에게 지쳐가고 있음을 느낀다.
상황을 회피하는 '다슬'과 상황을 풀어나갈 용기가 없는 '범'은 이런 상황들이 지속되자 서로의 관계에는 금이 가기 시작한다.
결국 서로를 위한 것이라는 생각으로 '범'은 '다슬'과의 관계를 끝내려 하지만
과거를 잃는 게 두려워 헤어지자는 말을 전하지는 못하고 시간을 가지자는 말을 꺼낸다.
과연 이 둘은 다시 예전 관계로 돌아갈 수 있을까?</t>
  </si>
  <si>
    <t>["드라마","로맨스","성장","스토리"]</t>
  </si>
  <si>
    <t>https://page.kakao.com/home?seriesId=59145452</t>
  </si>
  <si>
    <t>"저 방은 절대로 들어가지 마세요." 친구의 부탁으로 딱 하루만 일하게 된 공연장.
공연 매니저에게 주의 사항을 들었다. 들었는데..
"너, 뭔데 들어와."
난처해 하는 직원을 대신해 방문을 열었다가
어둠 속에서 건드려선 안될 남자와 마주치게 된다.
세계가 인정한 천재 첼리스트 지세훈.
하연은 제 손목을 꽉 움켜잡는 손이 두려워 도망치지만
자신을 찾아 소집령을 내린 그에게 들키고 마는데
"법대로 보상해 준다니까요"
"내가 말한 보상은 너였어."
천재란 후광에 가려진 이면.
그녀의 감촉이 또 다시 둘을 이어 놓는다.</t>
  </si>
  <si>
    <t>["로맨스","노블"]</t>
  </si>
  <si>
    <t>네임펜으로 그린 그림</t>
  </si>
  <si>
    <t>홍승우</t>
  </si>
  <si>
    <t>진짜로 네임펜으로 그렸다!
모든 주인공이 귀여운 동물, 그 중 커플을 담당하는 토끼 우기와 거북이 부기가 보여주는 공감 이야기
달달한 연애 이야기, 씁쓸한 인생이야기가 공존하는 가슴 따뜻한 일상 웹툰</t>
  </si>
  <si>
    <t>["공감","일상"]</t>
  </si>
  <si>
    <t>공유하는 집</t>
  </si>
  <si>
    <t>https://www.bomtoon.com/comic/ep_list/house/?p_id=tw1386</t>
  </si>
  <si>
    <t>BL</t>
  </si>
  <si>
    <t>사앙</t>
  </si>
  <si>
    <t>징망츄</t>
  </si>
  <si>
    <t>서로 맞지 않는 성격, 맞지 않는 생활 패턴, 밤일까지 방음 되지 않는 벽. 
일거수일투족 스트레스받는 박태주와 섹스가 없으면 못 사는 주하진의 좌충우돌 룸메이트 생활이 시작된다!</t>
  </si>
  <si>
    <t>["BL","성인"]</t>
  </si>
  <si>
    <t>냠냠의철학</t>
  </si>
  <si>
    <t>https://page.kakao.com/content/64641963</t>
  </si>
  <si>
    <t>극 계획형 작가의 남다른 먹방의 철학을 보여주다!</t>
  </si>
  <si>
    <t>살아서 만납시다</t>
  </si>
  <si>
    <t>https://ridibooks.com/books/3097001749?_s=instant&amp;_q=%EC%82%B4%EC%95%84%EC%84%9C&amp;_rdt_sid=search_instant&amp;_rdt_idx=5&amp;_rdt_arg=%EC%82%B4%EC%95%84%EC%84%9C</t>
  </si>
  <si>
    <t>노블코믹, BL</t>
  </si>
  <si>
    <t>Foxy</t>
  </si>
  <si>
    <t>GONU</t>
  </si>
  <si>
    <t>평화로운 서울에 창궐한 좀비 바이러스.
한국은 좀비를 ‘먹보’로 명명했으며, 사투 끝에 먹보 소탕에 실패한다.
-국민 여러분, 우리 정부는 9월 30일, 서울과 함께 한반도를 포기하기로 했습니다.
-전남 목포 목포항에서 군이 기다리고 있습니다.
-국민 여러분. 모두 살아서 만납시다.
태백은 살기 위해, 신후는 태백을 살리기 위해,
두 사람은 함께 혼란의 세상을 헤쳐나가게 된다.
“만약에 날 구하다 목숨이 위태로워질 것 같으면, 그땐 날 버려요. 거기까진 안 바라니까.”
애써 덤덤하게 말하는 태백에게,
“혼자 두지 않겠습니다. 무슨 일이 있어도 버리고 가지 않을 겁니다.”
신후는 특유의 담담한 말투로 대꾸했다.
함께하는 시간 속에서 점점 가까워지는 두 사람.
태백은 신후의 무심함 속에 숨겨진 다정함을 발견하고,
신후는 태백이 저돌적으로 퍼붓는 애정에 스며든다.
“나 형 좋아한다니까? 며칠 안에 사랑도 할 것 같아요. 그런 느낌이 와.”
“…….”
“그리고 아마, 형도 날 사랑하게 될 거예요.”
태백은 막 첫사랑을 시작한 소년처럼 웃으며 당차게 사랑을 고백했다.
신후는 대답 없이 웃어 주었다.
그런 두 사람 주위로 먹보들이 몰려들었다.
죽지 말고, 포기하지 말고,
우리 모두 살아서 만납시다.</t>
  </si>
  <si>
    <t>[아포칼립스]</t>
  </si>
  <si>
    <t>내가 죽기 일주일 전</t>
  </si>
  <si>
    <t>https://page.kakao.com/content/66085495</t>
  </si>
  <si>
    <t>https://www.webtoons.com/en/canvas/fruits-fruits/list?title_no=440037</t>
  </si>
  <si>
    <t>Fruits + Fruits</t>
  </si>
  <si>
    <t>원작 소설 + 티빙 드라마 방영작</t>
  </si>
  <si>
    <t>지엔</t>
  </si>
  <si>
    <t>서곡</t>
  </si>
  <si>
    <t>서은채</t>
  </si>
  <si>
    <t>어디선가 그런 말을 들은 적이 있다.
저승사자는 가장 사랑하는 사람의 모습으로 나타나
그리워하던 사람의 모습으로, 
그리워하던 목소리로 이름을 부른다고.
"정희완"
듣고 싶어도 더 이상 듣지 못했던 그리운 목소리가 들렸다.
"너는 일주일 뒤 죽어"
그리웠던 김람우, 그가 내게 다시 돌아왔다.
그것도 내가 죽기 일주일 전에...
미련없는 삶에 죽음을 결심하는 '정희완',
가장 사랑했었던 '김람우'가 저승사자가 되어 제 눈 앞에 나타나 일주일 뒤 죽음을 예고한다.</t>
  </si>
  <si>
    <t>["현대로맨스". "드라마"]</t>
  </si>
  <si>
    <t>금쪽이가 사랑하는 방법</t>
  </si>
  <si>
    <r>
      <rPr>
        <color rgb="FF1155CC"/>
        <sz val="7.0"/>
        <u/>
      </rPr>
      <t>https://www.bomtoon.com/detail/howGlove</t>
    </r>
    <r>
      <rPr>
        <sz val="7.0"/>
      </rPr>
      <t>e</t>
    </r>
  </si>
  <si>
    <t>https://www.webtoons.com/en/canvas/neo-underworld-neo-origins-comic/list?title_no=997836</t>
  </si>
  <si>
    <t>Neo UnderWorld - Neo Origins (Comic)</t>
  </si>
  <si>
    <t>롸따</t>
  </si>
  <si>
    <t>사랑이 뭔지, 도무지 모르겠는 애정 결핍 오메가 '한윤태'
자신을 함부로 대하는 사람들이 주는 이 두근 거림이 아마 사랑이지 않을까... 착각한다.
그렇게 망가진 애정관으로 아무나 만나며 되는대로 살아온 윤태에게 어느 날 찾아온,
모든 것이 완벽한 우성 알파 '임우석'
'...진짜 사랑이란 이런 걸까?'
아주 오래전부터 윤태만을 바라보고 있었던 우석은 기다렸다는 듯 조건 없는 사랑을 쏟아붓고, 윤태는 처음 받아보는 무한한 애정에 가슴이 두근 대기 시작한다.
사랑을 줄 줄도, 받을 줄도 모르는 금쪽이가 서툴게나마 사랑을 배워가는 방법!</t>
  </si>
  <si>
    <t>["BL", "성인"]</t>
  </si>
  <si>
    <t>오! my GOD</t>
  </si>
  <si>
    <t>https://series.naver.com/comic/detail.series?productNo=11852633</t>
  </si>
  <si>
    <t>https://www.webtoons.com/en/fantasy/tower-of-god-urek-mazino/list?title_no=8136</t>
  </si>
  <si>
    <t>Tower of God: Urek Mazino</t>
  </si>
  <si>
    <t>한서광</t>
  </si>
  <si>
    <t>신이지</t>
  </si>
  <si>
    <t>못생긴 외모에 자존감까지 바닥인 남자, 판도경. 그의 전생은 그리스 신화 속 '판도라'였다. 
판도라는 호기심을 주체하지 못해 신비로운 상자를 열어 인간 세상에 불행을 퍼뜨린 죄로 제우스의 저주를 받아 끝없는 윤회를 하며 비참한 인생을 살아야 하는 처치가 되었고, 
이번 생에서는 추남으로 태어나 외모 콤플렉스에 시달리며 초라한 일상을 버텨가고 있었다.
그러던 어느 날, 도경의 인생을 뒤흔들 한 사건이 벌어지는데...
하늘에서 떨어진 주사위 모양의 운석이 그의 머리에 명중하며 낮에는 그대로 ‘추남 판도경’으로, 밤이 되면 눈부신 미모를 지닌 ‘미녀 판소미’로 변신하는 마법에 걸려버리게 된 것이다. 
낮과 밤이 바뀔 때마다 그는 전혀 다른 두 사람으로 살아가야 하는, 이른바 '낮남밤녀'의 인생이 시작된다.
도경은 낮과 밤의 자아가 달라진 자기 모습에 혼란스러움을 느끼며, 자신이 누군지 점점 잃어가지만
그에게 뜻밖의 행운인지, 아니면 불행인지 모를 또 하나의 변화가 찾아온다.
바로 도경에게 운명의 사랑이 불쑥 다가온 것! 
이 변화로 인해 도경과 소미의 이중생활이 새로운 국면을 맞이하게 되고, 소미 또한 그녀의 매력에 이끌린 한 남자를 만나게 되면서 그의 인생은 더욱 꼬여간다.
도경은 마법에 걸린 자신을 받아들이며 사랑과 정체성, 그리고 자신의 진정한 모습을 되찾기 위해 치열하게 고민하고 갈등하게 된다. 
과연 판도경은 신의 저주에서 벗어나 진정한 행복을 찾을 수 있을까? 아니면 이중생활 속에서 더욱더 깊은 혼란과 비극으로 빠져들게 될까?</t>
  </si>
  <si>
    <t>12세 이용가</t>
  </si>
  <si>
    <t>[순정, 드라마]</t>
  </si>
  <si>
    <t>상세설명</t>
  </si>
  <si>
    <t>Genre</t>
  </si>
  <si>
    <t>Detail</t>
  </si>
  <si>
    <t>추천작품</t>
  </si>
  <si>
    <t>로맨스 퓨전</t>
  </si>
  <si>
    <t xml:space="preserve"> 웹툰 영역에서 멜로드라마틱하고 로맨스 지향적인 여성 주도 콘텐츠 추구</t>
  </si>
  <si>
    <t>Romance Fusion</t>
  </si>
  <si>
    <t xml:space="preserve"> Seeking soapy, romance-oriented, female-led content from webtoon space</t>
  </si>
  <si>
    <t xml:space="preserve">노이즈컴백
사랑에 번역앱이 필요한가요?
안녕 도깨비
그녀의 버킷리스트
마녀는 사랑하지 않아도 괜찮아요
우리 모두는 누군가의 첫사랑이었다
사장님은 투타임
스윗솔티
악마와 계약연애
이상적인 관계
사랑양장점
이로운 변태
미래 남편 누구게?
러브 앤 위시
재밌니, 짝사랑
견우와 선녀
펌킨타임
염라의 숨결
우리는 매일매일
남자친구를 조심해
삼각산 선녀탕
귀신과 연애하기 시뮬레이션
</t>
  </si>
  <si>
    <t>뉴 어덜트/YA</t>
  </si>
  <si>
    <t xml:space="preserve"> 현실적인 스토리, 고등학교 캐릭터를 약간 나이 올려서</t>
  </si>
  <si>
    <t>New Adult/YA</t>
  </si>
  <si>
    <t xml:space="preserve"> Grounded stories, aging high school characters up slightly</t>
  </si>
  <si>
    <t>로맨틱 코미디</t>
  </si>
  <si>
    <t xml:space="preserve"> 30분짜리 시리즈물</t>
  </si>
  <si>
    <t>Romantic Comedies</t>
  </si>
  <si>
    <t xml:space="preserve"> Ongoing series for half-hour team</t>
  </si>
  <si>
    <t>윌유메리미
항변신
우리집 아이돌
스마트폰 중독자</t>
  </si>
  <si>
    <t>복잡한 여성 관계</t>
  </si>
  <si>
    <t xml:space="preserve"> 친구 그룹, 모녀 관계 역학</t>
  </si>
  <si>
    <t>Complex Female Relationships</t>
  </si>
  <si>
    <t xml:space="preserve"> Groups of friends, mother-daughter dynamics</t>
  </si>
  <si>
    <t>그림자 미녀
인간시장
코코스튜
나비인간</t>
  </si>
  <si>
    <t>세련된 성인 드라마</t>
  </si>
  <si>
    <t xml:space="preserve"> Parenthood, Six Feet Under 수준의 콘텐츠</t>
  </si>
  <si>
    <t>Sophisticated Adult Dramas</t>
  </si>
  <si>
    <t xml:space="preserve"> Parenthood, Six Feet Under level content</t>
  </si>
  <si>
    <t>전연령 가족 콘텐츠</t>
  </si>
  <si>
    <t xml:space="preserve"> Jungle Cruise 모델로 성인 어필, 아이들만 타겟하지 않음</t>
  </si>
  <si>
    <t>Four-Quad Family Content</t>
  </si>
  <si>
    <t xml:space="preserve"> Jungle Cruise model with adult appeal, not exclusively kid-focused</t>
  </si>
  <si>
    <t>대형막내!
그래도 사랑해</t>
  </si>
  <si>
    <t>젊은 남성 이야기</t>
  </si>
  <si>
    <t xml:space="preserve"> SuperBad 시리즈 유사작품, 고3부터 25세까지의 주인공들</t>
  </si>
  <si>
    <t>Younger Male Stories</t>
  </si>
  <si>
    <t xml:space="preserve"> SuperBad series equivalent, senior year high school through age 25 protagonists</t>
  </si>
  <si>
    <t>마법사
더 익스트림</t>
  </si>
  <si>
    <t>반쪽은 SF</t>
  </si>
  <si>
    <t xml:space="preserve"> 현재 현실에서 하나의 반전을 가진 현실적인 장르 콘텐츠</t>
  </si>
  <si>
    <t>One Foot in Sci-Fi</t>
  </si>
  <si>
    <t xml:space="preserve"> Grounded genre content with singular twist from present reality</t>
  </si>
  <si>
    <t>나를 바꿔줘
김 대리는 아이돌이 싫어
얼굴천재 0살 톱스타
1초에 100만원</t>
  </si>
  <si>
    <t>지속적인 호러</t>
  </si>
  <si>
    <t xml:space="preserve"> 단순한 공포를 넘어선 서사 엔진 (참고작</t>
  </si>
  <si>
    <t>Ongoing Horror</t>
  </si>
  <si>
    <t xml:space="preserve"> Narrative engine beyond scares (comps:  Haunting of Hill House, The Servant)</t>
  </si>
  <si>
    <t>백합 하우스
빙의
마야고
데모니악</t>
  </si>
  <si>
    <t>앤솔로지</t>
  </si>
  <si>
    <t xml:space="preserve"> American Horror Story 모델에 개방적, 에피소드별 앤솔로지는 아님</t>
  </si>
  <si>
    <t>Seasonal Anthologies</t>
  </si>
  <si>
    <t xml:space="preserve"> Open to American Horror Story model, not episodic anthologies</t>
  </si>
  <si>
    <t>액션 콘텐츠</t>
  </si>
  <si>
    <t xml:space="preserve"> 긴장감 넘치는 스릴러 (The Night Agent) 또는 앙상블 쇼 (The Shield, The Unit)</t>
  </si>
  <si>
    <t>Action Content</t>
  </si>
  <si>
    <t xml:space="preserve"> Tense thrillers (Night Agent) or ensemble shows (The Shield, The Unit)</t>
  </si>
  <si>
    <t>역사적 폭력</t>
  </si>
  <si>
    <t xml:space="preserve"> American Primeval의 성공으로 폭력을 포함한 시대물에 대한 수요 확인</t>
  </si>
  <si>
    <t>Historical Violence</t>
  </si>
  <si>
    <t xml:space="preserve"> Success with American Primeval indicates appetite for period content with violence</t>
  </si>
  <si>
    <t>*제작비 고려사항</t>
  </si>
  <si>
    <t xml:space="preserve"> 비싼 우주 서사나 하이 판타지보다는 제한된 컨셉 선호</t>
  </si>
  <si>
    <t>Production Value Considerations</t>
  </si>
  <si>
    <t xml:space="preserve"> Preference for contained concepts over expensive space sagas or high fantasy</t>
  </si>
  <si>
    <t>로맨스</t>
  </si>
  <si>
    <t>재벌/억만장자·계약/비밀 결혼, 캠퍼스/하이틴, 적→연인(Enemies to Lovers)·신데렐라 변신·복수 멜로</t>
  </si>
  <si>
    <t>네 이웃의 취향
나쁘니까 더
애착 인형</t>
  </si>
  <si>
    <t>판타지</t>
  </si>
  <si>
    <t>늑대인간·뱀파이어(알파/소울메이트), 시대/차원이동·회귀, 알파 메이트/흡혈귀 연인</t>
  </si>
  <si>
    <t>스릴러/범죄</t>
  </si>
  <si>
    <t>복수극·가스라이팅 탈출·마피아/조직 로맨스. 학교/기숙사 폐쇄적 공간</t>
  </si>
  <si>
    <t>궁중/로열·사내정치</t>
  </si>
  <si>
    <t>왕족 로맨스, 재벌가·승계 전쟁, 오피스 권력 다툼, 상속녀/가짜 상속녀, 신분 세탁, 배신→복수→역전 (이혼/해고/망신 → 성공/승진/재혼)</t>
  </si>
  <si>
    <t>title_name_kr</t>
  </si>
  <si>
    <t>title_url</t>
  </si>
  <si>
    <t>title_name_en</t>
  </si>
  <si>
    <t>https://manta.net/en/series/does-love-need-a-translator?seriesId=1149</t>
  </si>
  <si>
    <t>https://lalatoon.com/en/webtoon/episode/toon/7054</t>
  </si>
  <si>
    <t>https://www.webtoons.com/en/romance/double-binded-by-love/list?title_no=3438</t>
  </si>
  <si>
    <t>https://mangatoto.com/series/109126</t>
  </si>
  <si>
    <t>https://manta.net/en/series/crush-on-you?seriesId=1173</t>
  </si>
  <si>
    <t>https://www.webtoons.com/en/romance/phone-addict/list?title_no=4187</t>
  </si>
  <si>
    <t>Phone Addict</t>
  </si>
  <si>
    <t>https://manta.net/en/series/the-butterfly-girl?seriesId=1203</t>
  </si>
  <si>
    <t>https://manta.net/en/series/wild-idols?seriesId=1329</t>
  </si>
  <si>
    <t>https://manta.net/en/series/idol-house?seriesId=1171</t>
  </si>
  <si>
    <t>https://manta.net/en/series/boy-from-the-future?seriesId=1202</t>
  </si>
  <si>
    <t>https://manta.net/en/series/ideal-us?seriesId=1294</t>
  </si>
</sst>
</file>

<file path=xl/styles.xml><?xml version="1.0" encoding="utf-8"?>
<styleSheet xmlns="http://schemas.openxmlformats.org/spreadsheetml/2006/main" xmlns:x14ac="http://schemas.microsoft.com/office/spreadsheetml/2009/9/ac" xmlns:mc="http://schemas.openxmlformats.org/markup-compatibility/2006">
  <fonts count="38">
    <font>
      <sz val="10.0"/>
      <color rgb="FF000000"/>
      <name val="Arial"/>
      <scheme val="minor"/>
    </font>
    <font>
      <b/>
      <color theme="1"/>
      <name val="Arial"/>
    </font>
    <font>
      <sz val="10.0"/>
      <color theme="1"/>
      <name val="Arial"/>
    </font>
    <font>
      <b/>
      <color rgb="FFFF0000"/>
      <name val="Arial"/>
    </font>
    <font>
      <color theme="1"/>
      <name val="Arial"/>
    </font>
    <font>
      <color theme="1"/>
      <name val="Arial"/>
      <scheme val="minor"/>
    </font>
    <font>
      <b/>
      <color theme="1"/>
      <name val="Arial"/>
      <scheme val="minor"/>
    </font>
    <font>
      <u/>
      <sz val="7.0"/>
      <color rgb="FF0000FF"/>
    </font>
    <font>
      <u/>
      <sz val="7.0"/>
      <color rgb="FF1155CC"/>
      <name val="Arial"/>
    </font>
    <font>
      <u/>
      <color rgb="FF000000"/>
      <name val="Arial"/>
    </font>
    <font>
      <sz val="9.0"/>
      <color theme="1"/>
      <name val="Arial"/>
      <scheme val="minor"/>
    </font>
    <font>
      <sz val="7.0"/>
      <color theme="1"/>
      <name val="Arial"/>
      <scheme val="minor"/>
    </font>
    <font>
      <u/>
      <color rgb="FF0000FF"/>
      <name val="Arial"/>
    </font>
    <font>
      <u/>
      <sz val="7.0"/>
      <color rgb="FF0000FF"/>
    </font>
    <font>
      <u/>
      <color rgb="FF1155CC"/>
      <name val="Arial"/>
    </font>
    <font>
      <sz val="8.0"/>
      <color rgb="FFFF0000"/>
      <name val="Arial"/>
      <scheme val="minor"/>
    </font>
    <font>
      <sz val="8.0"/>
      <color theme="1"/>
      <name val="Arial"/>
      <scheme val="minor"/>
    </font>
    <font>
      <sz val="7.0"/>
      <color rgb="FF000000"/>
      <name val="Arial"/>
      <scheme val="minor"/>
    </font>
    <font>
      <u/>
      <sz val="7.0"/>
      <color rgb="FF1155CC"/>
      <name val="Arial"/>
    </font>
    <font>
      <b/>
      <color rgb="FF999999"/>
      <name val="Arial"/>
      <scheme val="minor"/>
    </font>
    <font>
      <u/>
      <sz val="7.0"/>
      <color rgb="FF999999"/>
    </font>
    <font>
      <color rgb="FF999999"/>
      <name val="Arial"/>
      <scheme val="minor"/>
    </font>
    <font>
      <sz val="9.0"/>
      <color rgb="FF999999"/>
      <name val="Arial"/>
      <scheme val="minor"/>
    </font>
    <font>
      <u/>
      <sz val="7.0"/>
      <color rgb="FF999999"/>
    </font>
    <font>
      <u/>
      <sz val="7.0"/>
      <color rgb="FF1155CC"/>
      <name val="Arial"/>
    </font>
    <font>
      <b/>
      <sz val="13.0"/>
      <color rgb="FFFFFFFF"/>
      <name val="Arial"/>
      <scheme val="minor"/>
    </font>
    <font>
      <u/>
      <color rgb="FF0000FF"/>
      <name val="Arial"/>
    </font>
    <font>
      <b/>
      <color rgb="FFFF0000"/>
      <name val="Arial"/>
      <scheme val="minor"/>
    </font>
    <font>
      <u/>
      <color rgb="FF0000FF"/>
      <name val="Arial"/>
    </font>
    <font>
      <u/>
      <sz val="7.0"/>
      <color rgb="FF0000FF"/>
    </font>
    <font>
      <b/>
      <sz val="9.0"/>
      <color rgb="FF999999"/>
      <name val="Arial"/>
      <scheme val="minor"/>
    </font>
    <font>
      <color rgb="FFFF0000"/>
      <name val="Arial"/>
      <scheme val="minor"/>
    </font>
    <font>
      <i/>
      <color rgb="FF4A86E8"/>
      <name val="Arial"/>
      <scheme val="minor"/>
    </font>
    <font>
      <sz val="11.0"/>
      <color rgb="FF525252"/>
      <name val="CustomFont"/>
    </font>
    <font>
      <u/>
      <sz val="10.0"/>
      <color rgb="FF1155CC"/>
      <name val="Arial"/>
    </font>
    <font>
      <color rgb="FF000000"/>
      <name val="Arial"/>
    </font>
    <font>
      <u/>
      <color rgb="FF0000FF"/>
      <name val="Arial"/>
    </font>
    <font>
      <u/>
      <sz val="10.0"/>
      <color rgb="FF0000FF"/>
      <name val="Arial"/>
    </font>
  </fonts>
  <fills count="10">
    <fill>
      <patternFill patternType="none"/>
    </fill>
    <fill>
      <patternFill patternType="lightGray"/>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FFFF00"/>
        <bgColor rgb="FFFFFF00"/>
      </patternFill>
    </fill>
    <fill>
      <patternFill patternType="solid">
        <fgColor rgb="FF000000"/>
        <bgColor rgb="FF000000"/>
      </patternFill>
    </fill>
    <fill>
      <patternFill patternType="solid">
        <fgColor rgb="FFCCCCCC"/>
        <bgColor rgb="FFCCCCCC"/>
      </patternFill>
    </fill>
    <fill>
      <patternFill patternType="solid">
        <fgColor rgb="FFEFEFEF"/>
        <bgColor rgb="FFEFEFEF"/>
      </patternFill>
    </fill>
    <fill>
      <patternFill patternType="solid">
        <fgColor rgb="FFFCFCFC"/>
        <bgColor rgb="FFFCFCFC"/>
      </patternFill>
    </fill>
  </fills>
  <borders count="1">
    <border/>
  </borders>
  <cellStyleXfs count="1">
    <xf borderId="0" fillId="0" fontId="0" numFmtId="0" applyAlignment="1" applyFont="1"/>
  </cellStyleXfs>
  <cellXfs count="97">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2" numFmtId="0" xfId="0" applyAlignment="1" applyFont="1">
      <alignment horizontal="center" shrinkToFit="0" vertical="center" wrapText="1"/>
    </xf>
    <xf borderId="0" fillId="3" fontId="1" numFmtId="0" xfId="0" applyAlignment="1" applyFill="1" applyFont="1">
      <alignment horizontal="center" readingOrder="0" shrinkToFit="0" vertical="center" wrapText="1"/>
    </xf>
    <xf borderId="0" fillId="3" fontId="1" numFmtId="0" xfId="0" applyAlignment="1" applyFont="1">
      <alignment horizontal="center" shrinkToFit="0" vertical="center" wrapText="1"/>
    </xf>
    <xf borderId="0" fillId="3" fontId="3" numFmtId="0" xfId="0" applyAlignment="1" applyFont="1">
      <alignment horizontal="center" readingOrder="0" shrinkToFit="0" vertical="center" wrapText="1"/>
    </xf>
    <xf borderId="0" fillId="4" fontId="3" numFmtId="0" xfId="0" applyAlignment="1" applyFill="1" applyFont="1">
      <alignment horizontal="center" readingOrder="0" shrinkToFit="0" vertical="center" wrapText="1"/>
    </xf>
    <xf borderId="0" fillId="3" fontId="4" numFmtId="0" xfId="0" applyAlignment="1" applyFont="1">
      <alignment horizontal="center" shrinkToFit="0" vertical="center" wrapText="1"/>
    </xf>
    <xf borderId="0" fillId="3" fontId="5" numFmtId="0" xfId="0" applyAlignment="1" applyFont="1">
      <alignment horizontal="center" readingOrder="0" shrinkToFit="0" vertical="center" wrapText="1"/>
    </xf>
    <xf borderId="0" fillId="2" fontId="4" numFmtId="3" xfId="0" applyAlignment="1" applyFont="1" applyNumberFormat="1">
      <alignment horizontal="center" readingOrder="0" shrinkToFit="0" vertical="center" wrapText="1"/>
    </xf>
    <xf borderId="0" fillId="2" fontId="4" numFmtId="3" xfId="0" applyAlignment="1" applyFont="1" applyNumberFormat="1">
      <alignment horizontal="center" readingOrder="0" vertical="center"/>
    </xf>
    <xf borderId="0" fillId="2" fontId="4" numFmtId="0" xfId="0" applyAlignment="1" applyFont="1">
      <alignment horizontal="center" readingOrder="0" shrinkToFit="0" vertical="center" wrapText="1"/>
    </xf>
    <xf borderId="0" fillId="2" fontId="4" numFmtId="0" xfId="0" applyAlignment="1" applyFont="1">
      <alignment horizontal="center" shrinkToFit="0" vertical="center" wrapText="1"/>
    </xf>
    <xf borderId="0" fillId="5" fontId="6" numFmtId="0" xfId="0" applyAlignment="1" applyFill="1" applyFont="1">
      <alignment horizontal="center" readingOrder="0" shrinkToFit="0" wrapText="1"/>
    </xf>
    <xf borderId="0" fillId="0" fontId="7" numFmtId="0" xfId="0" applyAlignment="1" applyFont="1">
      <alignment horizontal="center" readingOrder="0" shrinkToFit="0" wrapText="1"/>
    </xf>
    <xf borderId="0" fillId="5" fontId="8" numFmtId="0" xfId="0" applyAlignment="1" applyFont="1">
      <alignment horizontal="center" shrinkToFit="0" vertical="bottom" wrapText="1"/>
    </xf>
    <xf borderId="0" fillId="3" fontId="9" numFmtId="0" xfId="0" applyAlignment="1" applyFont="1">
      <alignment horizontal="center" readingOrder="0" shrinkToFit="0" vertical="bottom" wrapText="1"/>
    </xf>
    <xf borderId="0" fillId="3" fontId="5" numFmtId="0" xfId="0" applyAlignment="1" applyFont="1">
      <alignment horizontal="center" readingOrder="0" shrinkToFit="0" wrapText="1"/>
    </xf>
    <xf borderId="0" fillId="4" fontId="5" numFmtId="0" xfId="0" applyAlignment="1" applyFont="1">
      <alignment horizontal="center" readingOrder="0" shrinkToFit="0" vertical="center" wrapText="1"/>
    </xf>
    <xf borderId="0" fillId="0" fontId="5" numFmtId="3" xfId="0" applyAlignment="1" applyFont="1" applyNumberFormat="1">
      <alignment horizontal="center" readingOrder="0" shrinkToFit="0" wrapText="1"/>
    </xf>
    <xf borderId="0" fillId="0" fontId="5" numFmtId="0" xfId="0" applyAlignment="1" applyFont="1">
      <alignment horizontal="center" readingOrder="0" shrinkToFit="0" wrapText="1"/>
    </xf>
    <xf borderId="0" fillId="0" fontId="5" numFmtId="0" xfId="0" applyAlignment="1" applyFont="1">
      <alignment horizontal="center" shrinkToFit="0" wrapText="1"/>
    </xf>
    <xf borderId="0" fillId="0" fontId="10" numFmtId="0" xfId="0" applyAlignment="1" applyFont="1">
      <alignment readingOrder="0" shrinkToFit="0" vertical="center" wrapText="1"/>
    </xf>
    <xf borderId="0" fillId="0" fontId="11" numFmtId="0" xfId="0" applyAlignment="1" applyFont="1">
      <alignment horizontal="center" readingOrder="0" shrinkToFit="0" wrapText="1"/>
    </xf>
    <xf borderId="0" fillId="3" fontId="12" numFmtId="0" xfId="0" applyAlignment="1" applyFont="1">
      <alignment horizontal="center" shrinkToFit="0" vertical="bottom" wrapText="1"/>
    </xf>
    <xf borderId="0" fillId="0" fontId="13" numFmtId="0" xfId="0" applyAlignment="1" applyFont="1">
      <alignment horizontal="center" readingOrder="0" shrinkToFit="0" wrapText="1"/>
    </xf>
    <xf borderId="0" fillId="5" fontId="14" numFmtId="0" xfId="0" applyAlignment="1" applyFont="1">
      <alignment shrinkToFit="0" vertical="bottom" wrapText="1"/>
    </xf>
    <xf borderId="0" fillId="4" fontId="15" numFmtId="0" xfId="0" applyAlignment="1" applyFont="1">
      <alignment horizontal="center" readingOrder="0" shrinkToFit="0" vertical="center" wrapText="1"/>
    </xf>
    <xf borderId="0" fillId="4" fontId="10" numFmtId="0" xfId="0" applyAlignment="1" applyFont="1">
      <alignment horizontal="center" readingOrder="0" shrinkToFit="0" vertical="center" wrapText="1"/>
    </xf>
    <xf borderId="0" fillId="3" fontId="16" numFmtId="0" xfId="0" applyAlignment="1" applyFont="1">
      <alignment horizontal="center" readingOrder="0" shrinkToFit="0" vertical="center" wrapText="1"/>
    </xf>
    <xf borderId="0" fillId="3" fontId="4" numFmtId="0" xfId="0" applyAlignment="1" applyFont="1">
      <alignment vertical="bottom"/>
    </xf>
    <xf borderId="0" fillId="4" fontId="16" numFmtId="0" xfId="0" applyAlignment="1" applyFont="1">
      <alignment horizontal="center" readingOrder="0" shrinkToFit="0" vertical="center" wrapText="1"/>
    </xf>
    <xf borderId="0" fillId="0" fontId="17" numFmtId="0" xfId="0" applyAlignment="1" applyFont="1">
      <alignment horizontal="center" readingOrder="0" shrinkToFit="0" wrapText="1"/>
    </xf>
    <xf borderId="0" fillId="3" fontId="4" numFmtId="0" xfId="0" applyAlignment="1" applyFont="1">
      <alignment horizontal="center" shrinkToFit="0" vertical="bottom" wrapText="1"/>
    </xf>
    <xf borderId="0" fillId="0" fontId="18" numFmtId="0" xfId="0" applyAlignment="1" applyFont="1">
      <alignment horizontal="center" shrinkToFit="0" vertical="bottom" wrapText="1"/>
    </xf>
    <xf borderId="0" fillId="0" fontId="4" numFmtId="0" xfId="0" applyAlignment="1" applyFont="1">
      <alignment vertical="bottom"/>
    </xf>
    <xf borderId="0" fillId="3" fontId="5" numFmtId="0" xfId="0" applyAlignment="1" applyFont="1">
      <alignment horizontal="center" shrinkToFit="0" vertical="center" wrapText="1"/>
    </xf>
    <xf borderId="0" fillId="0" fontId="6" numFmtId="0" xfId="0" applyAlignment="1" applyFont="1">
      <alignment horizontal="center" readingOrder="0" shrinkToFit="0" wrapText="1"/>
    </xf>
    <xf borderId="0" fillId="0" fontId="4" numFmtId="0" xfId="0" applyAlignment="1" applyFont="1">
      <alignment shrinkToFit="0" vertical="bottom" wrapText="1"/>
    </xf>
    <xf borderId="0" fillId="0" fontId="4" numFmtId="0" xfId="0" applyAlignment="1" applyFont="1">
      <alignment shrinkToFit="0" vertical="bottom" wrapText="1"/>
    </xf>
    <xf borderId="0" fillId="0" fontId="19" numFmtId="0" xfId="0" applyAlignment="1" applyFont="1">
      <alignment horizontal="center" readingOrder="0" shrinkToFit="0" wrapText="1"/>
    </xf>
    <xf borderId="0" fillId="0" fontId="20" numFmtId="0" xfId="0" applyAlignment="1" applyFont="1">
      <alignment horizontal="center" readingOrder="0" shrinkToFit="0" wrapText="1"/>
    </xf>
    <xf borderId="0" fillId="3" fontId="21" numFmtId="0" xfId="0" applyAlignment="1" applyFont="1">
      <alignment horizontal="center" readingOrder="0" shrinkToFit="0" wrapText="1"/>
    </xf>
    <xf borderId="0" fillId="4" fontId="21" numFmtId="0" xfId="0" applyAlignment="1" applyFont="1">
      <alignment horizontal="center" readingOrder="0" shrinkToFit="0" vertical="center" wrapText="1"/>
    </xf>
    <xf borderId="0" fillId="3" fontId="21" numFmtId="0" xfId="0" applyAlignment="1" applyFont="1">
      <alignment horizontal="center" readingOrder="0" shrinkToFit="0" vertical="center" wrapText="1"/>
    </xf>
    <xf borderId="0" fillId="0" fontId="21" numFmtId="3" xfId="0" applyAlignment="1" applyFont="1" applyNumberFormat="1">
      <alignment horizontal="center" readingOrder="0" shrinkToFit="0" wrapText="1"/>
    </xf>
    <xf borderId="0" fillId="0" fontId="21" numFmtId="0" xfId="0" applyAlignment="1" applyFont="1">
      <alignment horizontal="center" readingOrder="0" shrinkToFit="0" wrapText="1"/>
    </xf>
    <xf borderId="0" fillId="0" fontId="21" numFmtId="0" xfId="0" applyAlignment="1" applyFont="1">
      <alignment horizontal="center" shrinkToFit="0" wrapText="1"/>
    </xf>
    <xf borderId="0" fillId="0" fontId="22" numFmtId="0" xfId="0" applyAlignment="1" applyFont="1">
      <alignment readingOrder="0" shrinkToFit="0" vertical="center" wrapText="1"/>
    </xf>
    <xf borderId="0" fillId="0" fontId="23" numFmtId="0" xfId="0" applyAlignment="1" applyFont="1">
      <alignment horizontal="center" readingOrder="0" shrinkToFit="0" wrapText="1"/>
    </xf>
    <xf borderId="0" fillId="0" fontId="24" numFmtId="0" xfId="0" applyAlignment="1" applyFont="1">
      <alignment horizontal="center" shrinkToFit="0" vertical="bottom" wrapText="1"/>
    </xf>
    <xf borderId="0" fillId="6" fontId="25" numFmtId="0" xfId="0" applyAlignment="1" applyFill="1" applyFont="1">
      <alignment horizontal="center" readingOrder="0" shrinkToFit="0" wrapText="1"/>
    </xf>
    <xf borderId="0" fillId="6" fontId="11" numFmtId="0" xfId="0" applyAlignment="1" applyFont="1">
      <alignment horizontal="center" readingOrder="0" shrinkToFit="0" wrapText="1"/>
    </xf>
    <xf borderId="0" fillId="6" fontId="4" numFmtId="0" xfId="0" applyAlignment="1" applyFont="1">
      <alignment shrinkToFit="0" vertical="bottom" wrapText="1"/>
    </xf>
    <xf borderId="0" fillId="6" fontId="5" numFmtId="0" xfId="0" applyAlignment="1" applyFont="1">
      <alignment horizontal="center" readingOrder="0" shrinkToFit="0" wrapText="1"/>
    </xf>
    <xf borderId="0" fillId="6" fontId="5" numFmtId="0" xfId="0" applyAlignment="1" applyFont="1">
      <alignment horizontal="center" readingOrder="0" shrinkToFit="0" vertical="center" wrapText="1"/>
    </xf>
    <xf borderId="0" fillId="6" fontId="5" numFmtId="3" xfId="0" applyAlignment="1" applyFont="1" applyNumberFormat="1">
      <alignment horizontal="center" readingOrder="0" shrinkToFit="0" wrapText="1"/>
    </xf>
    <xf borderId="0" fillId="6" fontId="5" numFmtId="0" xfId="0" applyAlignment="1" applyFont="1">
      <alignment horizontal="center" shrinkToFit="0" wrapText="1"/>
    </xf>
    <xf borderId="0" fillId="6" fontId="10" numFmtId="0" xfId="0" applyAlignment="1" applyFont="1">
      <alignment readingOrder="0" shrinkToFit="0" vertical="center" wrapText="1"/>
    </xf>
    <xf borderId="0" fillId="4" fontId="6" numFmtId="0" xfId="0" applyAlignment="1" applyFont="1">
      <alignment horizontal="center" readingOrder="0" shrinkToFit="0" wrapText="1"/>
    </xf>
    <xf borderId="0" fillId="0" fontId="26" numFmtId="0" xfId="0" applyAlignment="1" applyFont="1">
      <alignment readingOrder="0" shrinkToFit="0" vertical="bottom" wrapText="1"/>
    </xf>
    <xf borderId="0" fillId="0" fontId="4" numFmtId="0" xfId="0" applyAlignment="1" applyFont="1">
      <alignment readingOrder="0" shrinkToFit="0" vertical="bottom" wrapText="1"/>
    </xf>
    <xf borderId="0" fillId="4" fontId="27" numFmtId="0" xfId="0" applyAlignment="1" applyFont="1">
      <alignment horizontal="center" readingOrder="0" shrinkToFit="0" wrapText="1"/>
    </xf>
    <xf borderId="0" fillId="6" fontId="6" numFmtId="0" xfId="0" applyAlignment="1" applyFont="1">
      <alignment horizontal="center" readingOrder="0" shrinkToFit="0" wrapText="1"/>
    </xf>
    <xf borderId="0" fillId="6" fontId="4" numFmtId="0" xfId="0" applyAlignment="1" applyFont="1">
      <alignment shrinkToFit="0" vertical="bottom" wrapText="1"/>
    </xf>
    <xf borderId="0" fillId="6" fontId="5" numFmtId="0" xfId="0" applyAlignment="1" applyFont="1">
      <alignment horizontal="center" shrinkToFit="0" vertical="center" wrapText="1"/>
    </xf>
    <xf borderId="0" fillId="0" fontId="28" numFmtId="0" xfId="0" applyAlignment="1" applyFont="1">
      <alignment readingOrder="0" shrinkToFit="0" vertical="bottom" wrapText="1"/>
    </xf>
    <xf borderId="0" fillId="7" fontId="6" numFmtId="0" xfId="0" applyAlignment="1" applyFill="1" applyFont="1">
      <alignment horizontal="center" readingOrder="0" shrinkToFit="0" wrapText="1"/>
    </xf>
    <xf borderId="0" fillId="7" fontId="29" numFmtId="0" xfId="0" applyAlignment="1" applyFont="1">
      <alignment horizontal="center" readingOrder="0" shrinkToFit="0" wrapText="1"/>
    </xf>
    <xf borderId="0" fillId="7" fontId="4" numFmtId="0" xfId="0" applyAlignment="1" applyFont="1">
      <alignment shrinkToFit="0" vertical="bottom" wrapText="1"/>
    </xf>
    <xf borderId="0" fillId="7" fontId="5" numFmtId="0" xfId="0" applyAlignment="1" applyFont="1">
      <alignment horizontal="center" readingOrder="0" shrinkToFit="0" vertical="center" wrapText="1"/>
    </xf>
    <xf borderId="0" fillId="7" fontId="5" numFmtId="3" xfId="0" applyAlignment="1" applyFont="1" applyNumberFormat="1">
      <alignment horizontal="center" readingOrder="0" shrinkToFit="0" wrapText="1"/>
    </xf>
    <xf borderId="0" fillId="7" fontId="5" numFmtId="0" xfId="0" applyAlignment="1" applyFont="1">
      <alignment horizontal="center" readingOrder="0" shrinkToFit="0" wrapText="1"/>
    </xf>
    <xf borderId="0" fillId="7" fontId="5" numFmtId="0" xfId="0" applyAlignment="1" applyFont="1">
      <alignment horizontal="center" shrinkToFit="0" wrapText="1"/>
    </xf>
    <xf borderId="0" fillId="7" fontId="10" numFmtId="0" xfId="0" applyAlignment="1" applyFont="1">
      <alignment readingOrder="0" shrinkToFit="0" vertical="center" wrapText="1"/>
    </xf>
    <xf borderId="0" fillId="7" fontId="17" numFmtId="0" xfId="0" applyAlignment="1" applyFont="1">
      <alignment horizontal="center" readingOrder="0" shrinkToFit="0" wrapText="1"/>
    </xf>
    <xf borderId="0" fillId="0" fontId="5" numFmtId="3" xfId="0" applyAlignment="1" applyFont="1" applyNumberFormat="1">
      <alignment horizontal="center" shrinkToFit="0" wrapText="1"/>
    </xf>
    <xf borderId="0" fillId="8" fontId="6" numFmtId="0" xfId="0" applyAlignment="1" applyFill="1" applyFont="1">
      <alignment horizontal="center" readingOrder="0" shrinkToFit="0" vertical="top" wrapText="1"/>
    </xf>
    <xf borderId="0" fillId="8" fontId="30" numFmtId="0" xfId="0" applyAlignment="1" applyFont="1">
      <alignment horizontal="center" readingOrder="0" shrinkToFit="0" vertical="top" wrapText="1"/>
    </xf>
    <xf borderId="0" fillId="8" fontId="27" numFmtId="0" xfId="0" applyAlignment="1" applyFont="1">
      <alignment horizontal="center" readingOrder="0" shrinkToFit="0" vertical="top" wrapText="1"/>
    </xf>
    <xf borderId="0" fillId="0" fontId="31" numFmtId="0" xfId="0" applyAlignment="1" applyFont="1">
      <alignment shrinkToFit="0" vertical="top" wrapText="1"/>
    </xf>
    <xf borderId="0" fillId="0" fontId="22" numFmtId="0" xfId="0" applyAlignment="1" applyFont="1">
      <alignment shrinkToFit="0" vertical="top" wrapText="1"/>
    </xf>
    <xf borderId="0" fillId="3" fontId="5" numFmtId="0" xfId="0" applyAlignment="1" applyFont="1">
      <alignment readingOrder="0" shrinkToFit="0" vertical="top" wrapText="1"/>
    </xf>
    <xf borderId="0" fillId="0" fontId="5" numFmtId="0" xfId="0" applyAlignment="1" applyFont="1">
      <alignment shrinkToFit="0" vertical="top" wrapText="1"/>
    </xf>
    <xf borderId="0" fillId="0" fontId="5" numFmtId="0" xfId="0" applyAlignment="1" applyFont="1">
      <alignment readingOrder="0" shrinkToFit="0" vertical="top" wrapText="1"/>
    </xf>
    <xf borderId="0" fillId="3" fontId="5" numFmtId="0" xfId="0" applyAlignment="1" applyFont="1">
      <alignment shrinkToFit="0" vertical="top" wrapText="1"/>
    </xf>
    <xf borderId="0" fillId="0" fontId="22" numFmtId="0" xfId="0" applyAlignment="1" applyFont="1">
      <alignment readingOrder="0" shrinkToFit="0" vertical="top" wrapText="1"/>
    </xf>
    <xf borderId="0" fillId="0" fontId="32" numFmtId="0" xfId="0" applyAlignment="1" applyFont="1">
      <alignment readingOrder="0" shrinkToFit="0" vertical="top" wrapText="1"/>
    </xf>
    <xf borderId="0" fillId="0" fontId="32" numFmtId="0" xfId="0" applyAlignment="1" applyFont="1">
      <alignment shrinkToFit="0" vertical="top" wrapText="1"/>
    </xf>
    <xf borderId="0" fillId="8" fontId="1" numFmtId="0" xfId="0" applyFont="1"/>
    <xf borderId="0" fillId="9" fontId="33" numFmtId="0" xfId="0" applyAlignment="1" applyFill="1" applyFont="1">
      <alignment horizontal="left" readingOrder="0"/>
    </xf>
    <xf borderId="0" fillId="5" fontId="34" numFmtId="0" xfId="0" applyAlignment="1" applyFont="1">
      <alignment horizontal="left" readingOrder="0" shrinkToFit="0" vertical="bottom" wrapText="1"/>
    </xf>
    <xf borderId="0" fillId="3" fontId="35" numFmtId="0" xfId="0" applyAlignment="1" applyFont="1">
      <alignment horizontal="left" readingOrder="0" shrinkToFit="0" vertical="bottom" wrapText="1"/>
    </xf>
    <xf borderId="0" fillId="3" fontId="36" numFmtId="0" xfId="0" applyAlignment="1" applyFont="1">
      <alignment horizontal="left" shrinkToFit="0" vertical="bottom" wrapText="1"/>
    </xf>
    <xf borderId="0" fillId="5" fontId="37" numFmtId="0" xfId="0" applyAlignment="1" applyFont="1">
      <alignment horizontal="left" readingOrder="0" shrinkToFit="0" vertical="bottom" wrapText="1"/>
    </xf>
    <xf borderId="0" fillId="3" fontId="4" numFmtId="0" xfId="0" applyAlignment="1" applyFont="1">
      <alignment horizontal="left" readingOrder="0" vertical="bottom"/>
    </xf>
    <xf borderId="0" fillId="3" fontId="4" numFmtId="0" xfId="0" applyAlignment="1" applyFont="1">
      <alignment horizontal="left" shrinkToFit="0" vertical="bottom" wrapText="1"/>
    </xf>
  </cellXfs>
  <cellStyles count="1">
    <cellStyle xfId="0" name="Normal" builtinId="0"/>
  </cellStyles>
  <dxfs count="1">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series.naver.com/comic/detail.series?productNo=11493448" TargetMode="External"/><Relationship Id="rId42" Type="http://schemas.openxmlformats.org/officeDocument/2006/relationships/hyperlink" Target="https://series.naver.com/comic/detail.series?productNo=6393980" TargetMode="External"/><Relationship Id="rId41" Type="http://schemas.openxmlformats.org/officeDocument/2006/relationships/hyperlink" Target="https://page.kakao.com/content/54710157" TargetMode="External"/><Relationship Id="rId44" Type="http://schemas.openxmlformats.org/officeDocument/2006/relationships/hyperlink" Target="https://page.kakao.com/content/61781238" TargetMode="External"/><Relationship Id="rId43" Type="http://schemas.openxmlformats.org/officeDocument/2006/relationships/hyperlink" Target="https://page.kakao.com/content/60947872" TargetMode="External"/><Relationship Id="rId46" Type="http://schemas.openxmlformats.org/officeDocument/2006/relationships/hyperlink" Target="https://page.kakao.com/content/63611875" TargetMode="External"/><Relationship Id="rId45" Type="http://schemas.openxmlformats.org/officeDocument/2006/relationships/hyperlink" Target="https://page.kakao.com/content/60998028" TargetMode="External"/><Relationship Id="rId107" Type="http://schemas.openxmlformats.org/officeDocument/2006/relationships/hyperlink" Target="https://series.naver.com/comic/detail.series?productNo=3155964" TargetMode="External"/><Relationship Id="rId106" Type="http://schemas.openxmlformats.org/officeDocument/2006/relationships/hyperlink" Target="https://series.naver.com/comic/detail.series?productNo=1863375" TargetMode="External"/><Relationship Id="rId105" Type="http://schemas.openxmlformats.org/officeDocument/2006/relationships/hyperlink" Target="https://www.webtoons.com/en/canvas/fafetfup-08051216-1305-12151920-1915211219/list?title_no=596062" TargetMode="External"/><Relationship Id="rId104" Type="http://schemas.openxmlformats.org/officeDocument/2006/relationships/hyperlink" Target="https://www.bomtoon.com/detail/gyeounae" TargetMode="External"/><Relationship Id="rId109" Type="http://schemas.openxmlformats.org/officeDocument/2006/relationships/hyperlink" Target="https://www.webtoons.com/en/canvas/no-cherry-picking/list?title_no=131630" TargetMode="External"/><Relationship Id="rId108" Type="http://schemas.openxmlformats.org/officeDocument/2006/relationships/hyperlink" Target="https://ridibooks.com/books/3097000560?type=rent" TargetMode="External"/><Relationship Id="rId48" Type="http://schemas.openxmlformats.org/officeDocument/2006/relationships/hyperlink" Target="https://comic.naver.com/webtoon/list?titleId=842974" TargetMode="External"/><Relationship Id="rId47" Type="http://schemas.openxmlformats.org/officeDocument/2006/relationships/hyperlink" Target="https://page.kakao.com/content/63602041" TargetMode="External"/><Relationship Id="rId49" Type="http://schemas.openxmlformats.org/officeDocument/2006/relationships/hyperlink" Target="https://page.kakao.com/content/67394591" TargetMode="External"/><Relationship Id="rId103" Type="http://schemas.openxmlformats.org/officeDocument/2006/relationships/hyperlink" Target="https://series.naver.com/comic/detail.series?productNo=10098140" TargetMode="External"/><Relationship Id="rId102" Type="http://schemas.openxmlformats.org/officeDocument/2006/relationships/hyperlink" Target="https://comic.naver.com/webtoon/list?titleId=812383" TargetMode="External"/><Relationship Id="rId101" Type="http://schemas.openxmlformats.org/officeDocument/2006/relationships/hyperlink" Target="https://www.webtoons.com/en/canvas/fafetfup-08051216-1305-12151920-1915211219/list?title_no=596062" TargetMode="External"/><Relationship Id="rId100" Type="http://schemas.openxmlformats.org/officeDocument/2006/relationships/hyperlink" Target="https://www.bomtoon.com/detail/AnunSaram" TargetMode="External"/><Relationship Id="rId31" Type="http://schemas.openxmlformats.org/officeDocument/2006/relationships/hyperlink" Target="https://bufftoon.plaync.com/series/1000608" TargetMode="External"/><Relationship Id="rId30" Type="http://schemas.openxmlformats.org/officeDocument/2006/relationships/hyperlink" Target="https://manta.net/en/series/ideal-us?seriesId=1294" TargetMode="External"/><Relationship Id="rId33" Type="http://schemas.openxmlformats.org/officeDocument/2006/relationships/hyperlink" Target="https://comic.naver.com/webtoon/list?titleId=743423" TargetMode="External"/><Relationship Id="rId32" Type="http://schemas.openxmlformats.org/officeDocument/2006/relationships/hyperlink" Target="https://bufftoon.plaync.com/series/1000608" TargetMode="External"/><Relationship Id="rId35" Type="http://schemas.openxmlformats.org/officeDocument/2006/relationships/hyperlink" Target="https://comic.naver.com/webtoon/list?titleId=842977" TargetMode="External"/><Relationship Id="rId34" Type="http://schemas.openxmlformats.org/officeDocument/2006/relationships/hyperlink" Target="https://page.kakao.com/home?seriesId=58427682" TargetMode="External"/><Relationship Id="rId37" Type="http://schemas.openxmlformats.org/officeDocument/2006/relationships/hyperlink" Target="https://page.kakao.com/content/60096304" TargetMode="External"/><Relationship Id="rId36" Type="http://schemas.openxmlformats.org/officeDocument/2006/relationships/hyperlink" Target="https://www.myktoon.com/web/works/list.kt?worksseq=33" TargetMode="External"/><Relationship Id="rId39" Type="http://schemas.openxmlformats.org/officeDocument/2006/relationships/hyperlink" Target="https://comic.naver.com/webtoon/list?titleId=692512" TargetMode="External"/><Relationship Id="rId38" Type="http://schemas.openxmlformats.org/officeDocument/2006/relationships/hyperlink" Target="https://comic.naver.com/webtoon/list?titleId=660333" TargetMode="External"/><Relationship Id="rId20" Type="http://schemas.openxmlformats.org/officeDocument/2006/relationships/hyperlink" Target="https://manta.net/en/series/the-butterfly-girl?seriesId=1203" TargetMode="External"/><Relationship Id="rId22" Type="http://schemas.openxmlformats.org/officeDocument/2006/relationships/hyperlink" Target="https://manta.net/en/series/wild-idols?seriesId=1329" TargetMode="External"/><Relationship Id="rId21" Type="http://schemas.openxmlformats.org/officeDocument/2006/relationships/hyperlink" Target="https://page.kakao.com/home?seriesId=57065475&amp;orderby=asc" TargetMode="External"/><Relationship Id="rId24" Type="http://schemas.openxmlformats.org/officeDocument/2006/relationships/hyperlink" Target="https://page.kakao.com/home?seriesId=53067806" TargetMode="External"/><Relationship Id="rId23" Type="http://schemas.openxmlformats.org/officeDocument/2006/relationships/hyperlink" Target="https://manta.net/en/series/wild-idols?seriesId=1329" TargetMode="External"/><Relationship Id="rId129" Type="http://schemas.openxmlformats.org/officeDocument/2006/relationships/hyperlink" Target="https://series.naver.com/comic/detail.series?productNo=6393990" TargetMode="External"/><Relationship Id="rId128" Type="http://schemas.openxmlformats.org/officeDocument/2006/relationships/hyperlink" Target="https://www.webtoons.com/en/canvas/heaven-sent-/list?title_no=679412" TargetMode="External"/><Relationship Id="rId127" Type="http://schemas.openxmlformats.org/officeDocument/2006/relationships/hyperlink" Target="https://ridibooks.com/books/3097001541?_rdt_sid=webtoon_bl_ai_recommendation&amp;_rdt_idx=0" TargetMode="External"/><Relationship Id="rId126" Type="http://schemas.openxmlformats.org/officeDocument/2006/relationships/hyperlink" Target="https://www.webtoons.com/en/canvas/heaven-sent-/list?title_no=679412" TargetMode="External"/><Relationship Id="rId26" Type="http://schemas.openxmlformats.org/officeDocument/2006/relationships/hyperlink" Target="https://manta.net/en/series/idol-house?seriesId=1171&amp;utm_source=chatgpt.com" TargetMode="External"/><Relationship Id="rId121" Type="http://schemas.openxmlformats.org/officeDocument/2006/relationships/hyperlink" Target="https://toptoon.com/comic/ep_list/removing" TargetMode="External"/><Relationship Id="rId25" Type="http://schemas.openxmlformats.org/officeDocument/2006/relationships/hyperlink" Target="https://manta.net/en/series/idol-house?seriesId=1171&amp;utm_source=chatgpt.com" TargetMode="External"/><Relationship Id="rId120" Type="http://schemas.openxmlformats.org/officeDocument/2006/relationships/hyperlink" Target="https://ridibooks.com/books/3097001408?_s=search&amp;_q=%EC%98%86%EC%A7%91+%ED%98%95&amp;_rdt_sid=search&amp;_rdt_idx=0" TargetMode="External"/><Relationship Id="rId28" Type="http://schemas.openxmlformats.org/officeDocument/2006/relationships/hyperlink" Target="https://manta.net/en/series/boy-from-the-future?seriesId=1202" TargetMode="External"/><Relationship Id="rId27" Type="http://schemas.openxmlformats.org/officeDocument/2006/relationships/hyperlink" Target="https://page.kakao.com/home?seriesId=50009380" TargetMode="External"/><Relationship Id="rId125" Type="http://schemas.openxmlformats.org/officeDocument/2006/relationships/hyperlink" Target="https://ridibooks.com/books/3097000733?_s=search&amp;_q=%ED%99%88%ED%8C%8C%EC%9D%B4%EB%B8%8C&amp;_rdt_sid=search&amp;_rdt_idx=0" TargetMode="External"/><Relationship Id="rId29" Type="http://schemas.openxmlformats.org/officeDocument/2006/relationships/hyperlink" Target="https://manta.net/en/series/boy-from-the-future?seriesId=1202" TargetMode="External"/><Relationship Id="rId124" Type="http://schemas.openxmlformats.org/officeDocument/2006/relationships/hyperlink" Target="https://ridibooks.com/books/3097001359" TargetMode="External"/><Relationship Id="rId123" Type="http://schemas.openxmlformats.org/officeDocument/2006/relationships/hyperlink" Target="https://www.webtoons.com/en/canvas/fafetfup-08051216-1305-12151920-1915211219/list?title_no=596062" TargetMode="External"/><Relationship Id="rId122" Type="http://schemas.openxmlformats.org/officeDocument/2006/relationships/hyperlink" Target="https://www.bomtoon.com/detail/tfevx" TargetMode="External"/><Relationship Id="rId95" Type="http://schemas.openxmlformats.org/officeDocument/2006/relationships/hyperlink" Target="https://www.bomtoon.com/comic/ep_list/death_man" TargetMode="External"/><Relationship Id="rId94" Type="http://schemas.openxmlformats.org/officeDocument/2006/relationships/hyperlink" Target="https://toptoon.com/comic/ep_list/ex_wife/?p_id=adp66&amp;_code=3336061" TargetMode="External"/><Relationship Id="rId97" Type="http://schemas.openxmlformats.org/officeDocument/2006/relationships/hyperlink" Target="https://toptoon.com/comic/ep_list/ex_girlfriend_comic_fa" TargetMode="External"/><Relationship Id="rId96" Type="http://schemas.openxmlformats.org/officeDocument/2006/relationships/hyperlink" Target="https://www.webtoons.com/en/canvas/heaven-sent-/list?title_no=679412" TargetMode="External"/><Relationship Id="rId11" Type="http://schemas.openxmlformats.org/officeDocument/2006/relationships/hyperlink" Target="https://mangatoto.com/series/109126" TargetMode="External"/><Relationship Id="rId99" Type="http://schemas.openxmlformats.org/officeDocument/2006/relationships/hyperlink" Target="https://www.webtoons.com/en/canvas/heaven-sent-/list?title_no=679412" TargetMode="External"/><Relationship Id="rId10" Type="http://schemas.openxmlformats.org/officeDocument/2006/relationships/hyperlink" Target="https://page.kakao.com/content/54589870" TargetMode="External"/><Relationship Id="rId98" Type="http://schemas.openxmlformats.org/officeDocument/2006/relationships/hyperlink" Target="https://www.bomtoon.com/detail/Evergreen" TargetMode="External"/><Relationship Id="rId13" Type="http://schemas.openxmlformats.org/officeDocument/2006/relationships/hyperlink" Target="https://page.kakao.com/home?seriesId=50744771" TargetMode="External"/><Relationship Id="rId12" Type="http://schemas.openxmlformats.org/officeDocument/2006/relationships/hyperlink" Target="https://mangatoto.com/series/109126" TargetMode="External"/><Relationship Id="rId91" Type="http://schemas.openxmlformats.org/officeDocument/2006/relationships/hyperlink" Target="https://www.webtoons.com/en/canvas/heaven-sent-/list?title_no=679412" TargetMode="External"/><Relationship Id="rId90" Type="http://schemas.openxmlformats.org/officeDocument/2006/relationships/hyperlink" Target="https://www.bomtoon.com/detail/hate_love" TargetMode="External"/><Relationship Id="rId93" Type="http://schemas.openxmlformats.org/officeDocument/2006/relationships/hyperlink" Target="https://bufftoon.plaync.com/series/1010114" TargetMode="External"/><Relationship Id="rId92" Type="http://schemas.openxmlformats.org/officeDocument/2006/relationships/hyperlink" Target="https://series.naver.com/comic/detail.series?productNo=5882935" TargetMode="External"/><Relationship Id="rId118" Type="http://schemas.openxmlformats.org/officeDocument/2006/relationships/hyperlink" Target="https://series.naver.com/comic/detail.series?productNo=6136190" TargetMode="External"/><Relationship Id="rId117" Type="http://schemas.openxmlformats.org/officeDocument/2006/relationships/hyperlink" Target="https://comic.naver.com/webtoon/list?titleId=503253" TargetMode="External"/><Relationship Id="rId116" Type="http://schemas.openxmlformats.org/officeDocument/2006/relationships/hyperlink" Target="https://page.kakao.com/home?seriesId=57672662" TargetMode="External"/><Relationship Id="rId115" Type="http://schemas.openxmlformats.org/officeDocument/2006/relationships/hyperlink" Target="https://series.naver.com/comic/detail.series?productNo=3512644" TargetMode="External"/><Relationship Id="rId119" Type="http://schemas.openxmlformats.org/officeDocument/2006/relationships/hyperlink" Target="https://series.naver.com/comic/detail.series?productNo=10647220" TargetMode="External"/><Relationship Id="rId15" Type="http://schemas.openxmlformats.org/officeDocument/2006/relationships/hyperlink" Target="https://manta.net/en/series/crush-on-you?seriesId=1173" TargetMode="External"/><Relationship Id="rId110" Type="http://schemas.openxmlformats.org/officeDocument/2006/relationships/hyperlink" Target="https://page.kakao.com/home?seriesId=54245289" TargetMode="External"/><Relationship Id="rId14" Type="http://schemas.openxmlformats.org/officeDocument/2006/relationships/hyperlink" Target="https://manta.net/en/series/crush-on-you?seriesId=1173" TargetMode="External"/><Relationship Id="rId17" Type="http://schemas.openxmlformats.org/officeDocument/2006/relationships/hyperlink" Target="https://www.webtoons.com/en/romance/phone-addict/list?title_no=4187&amp;utm_source=chatgpt.com" TargetMode="External"/><Relationship Id="rId16" Type="http://schemas.openxmlformats.org/officeDocument/2006/relationships/hyperlink" Target="https://page.kakao.com/home?seriesId=55929080" TargetMode="External"/><Relationship Id="rId19" Type="http://schemas.openxmlformats.org/officeDocument/2006/relationships/hyperlink" Target="https://manta.net/en/series/the-butterfly-girl?seriesId=1203" TargetMode="External"/><Relationship Id="rId114" Type="http://schemas.openxmlformats.org/officeDocument/2006/relationships/hyperlink" Target="https://www.blice.co.kr/web/detail.kt?novelId=72323" TargetMode="External"/><Relationship Id="rId18" Type="http://schemas.openxmlformats.org/officeDocument/2006/relationships/hyperlink" Target="https://page.kakao.com/home?seriesId=54737612" TargetMode="External"/><Relationship Id="rId113" Type="http://schemas.openxmlformats.org/officeDocument/2006/relationships/hyperlink" Target="https://www.webtoons.com/en/canvas/fafetfup-08051216-1305-12151920-1915211219/list?title_no=596062" TargetMode="External"/><Relationship Id="rId112" Type="http://schemas.openxmlformats.org/officeDocument/2006/relationships/hyperlink" Target="https://www.bomtoon.com/detail/fan_fiction" TargetMode="External"/><Relationship Id="rId111" Type="http://schemas.openxmlformats.org/officeDocument/2006/relationships/hyperlink" Target="https://page.kakao.com/home?seriesId=58357162&amp;orderby=desc" TargetMode="External"/><Relationship Id="rId84" Type="http://schemas.openxmlformats.org/officeDocument/2006/relationships/hyperlink" Target="https://www.webtoons.com/en/canvas/heaven-sent-/list?title_no=679412" TargetMode="External"/><Relationship Id="rId83" Type="http://schemas.openxmlformats.org/officeDocument/2006/relationships/hyperlink" Target="https://www.bomtoon.com/detail/it_was_you" TargetMode="External"/><Relationship Id="rId86" Type="http://schemas.openxmlformats.org/officeDocument/2006/relationships/hyperlink" Target="https://comic.naver.com/webtoon/list?titleId=710762" TargetMode="External"/><Relationship Id="rId85" Type="http://schemas.openxmlformats.org/officeDocument/2006/relationships/hyperlink" Target="https://page.kakao.com/home/%EC%96%B8%EB%AC%B4%EB%93%9C%EC%85%80%EB%9D%BC/54553280" TargetMode="External"/><Relationship Id="rId88" Type="http://schemas.openxmlformats.org/officeDocument/2006/relationships/hyperlink" Target="https://www.webtoons.com/en/canvas/heaven-sent-/list?title_no=679412" TargetMode="External"/><Relationship Id="rId150" Type="http://schemas.openxmlformats.org/officeDocument/2006/relationships/drawing" Target="../drawings/drawing1.xml"/><Relationship Id="rId87" Type="http://schemas.openxmlformats.org/officeDocument/2006/relationships/hyperlink" Target="https://www.bomtoon.com/comic/ep_list/soo_Sound" TargetMode="External"/><Relationship Id="rId89" Type="http://schemas.openxmlformats.org/officeDocument/2006/relationships/hyperlink" Target="https://page.kakao.com/home?seriesId=54450885&amp;orderby=desc" TargetMode="External"/><Relationship Id="rId80" Type="http://schemas.openxmlformats.org/officeDocument/2006/relationships/hyperlink" Target="https://page.kakao.com/content/61440167" TargetMode="External"/><Relationship Id="rId82" Type="http://schemas.openxmlformats.org/officeDocument/2006/relationships/hyperlink" Target="https://comic.naver.com/webtoon/list?titleId=778410" TargetMode="External"/><Relationship Id="rId81" Type="http://schemas.openxmlformats.org/officeDocument/2006/relationships/hyperlink" Target="https://series.naver.com/comic/detail.series?productNo=5936666" TargetMode="External"/><Relationship Id="rId1" Type="http://schemas.openxmlformats.org/officeDocument/2006/relationships/comments" Target="../comments1.xml"/><Relationship Id="rId2" Type="http://schemas.openxmlformats.org/officeDocument/2006/relationships/hyperlink" Target="https://page.kakao.com/home?seriesId=54100540" TargetMode="External"/><Relationship Id="rId3" Type="http://schemas.openxmlformats.org/officeDocument/2006/relationships/hyperlink" Target="https://manta.net/en/series/does-love-need-a-translator?seriesId=1149" TargetMode="External"/><Relationship Id="rId149" Type="http://schemas.openxmlformats.org/officeDocument/2006/relationships/hyperlink" Target="https://www.webtoons.com/en/fantasy/tower-of-god-urek-mazino/list?title_no=8136" TargetMode="External"/><Relationship Id="rId4" Type="http://schemas.openxmlformats.org/officeDocument/2006/relationships/hyperlink" Target="https://manta.net/en/series/does-love-need-a-translator?seriesId=1149" TargetMode="External"/><Relationship Id="rId148" Type="http://schemas.openxmlformats.org/officeDocument/2006/relationships/hyperlink" Target="https://series.naver.com/comic/detail.series?productNo=11852633" TargetMode="External"/><Relationship Id="rId9" Type="http://schemas.openxmlformats.org/officeDocument/2006/relationships/hyperlink" Target="https://www.webtoons.com/en/romance/double-binded-by-love/list?title_no=3438" TargetMode="External"/><Relationship Id="rId143" Type="http://schemas.openxmlformats.org/officeDocument/2006/relationships/hyperlink" Target="https://www.webtoons.com/en/canvas/heaven-sent-/list?title_no=679412" TargetMode="External"/><Relationship Id="rId142" Type="http://schemas.openxmlformats.org/officeDocument/2006/relationships/hyperlink" Target="https://ridibooks.com/books/3097001749?_s=instant&amp;_q=%EC%82%B4%EC%95%84%EC%84%9C&amp;_rdt_sid=search_instant&amp;_rdt_idx=5&amp;_rdt_arg=%EC%82%B4%EC%95%84%EC%84%9C" TargetMode="External"/><Relationship Id="rId141" Type="http://schemas.openxmlformats.org/officeDocument/2006/relationships/hyperlink" Target="https://page.kakao.com/content/64641963" TargetMode="External"/><Relationship Id="rId140" Type="http://schemas.openxmlformats.org/officeDocument/2006/relationships/hyperlink" Target="https://www.webtoons.com/en/canvas/fafetfup-08051216-1305-12151920-1915211219/list?title_no=596062" TargetMode="External"/><Relationship Id="rId5" Type="http://schemas.openxmlformats.org/officeDocument/2006/relationships/hyperlink" Target="https://lalatoon.com/en/webtoon/episode/toon/7054" TargetMode="External"/><Relationship Id="rId147" Type="http://schemas.openxmlformats.org/officeDocument/2006/relationships/hyperlink" Target="https://www.webtoons.com/en/canvas/neo-underworld-neo-origins-comic/list?title_no=997836" TargetMode="External"/><Relationship Id="rId6" Type="http://schemas.openxmlformats.org/officeDocument/2006/relationships/hyperlink" Target="https://lalatoon.com/en/webtoon/episode/toon/7054" TargetMode="External"/><Relationship Id="rId146" Type="http://schemas.openxmlformats.org/officeDocument/2006/relationships/hyperlink" Target="https://www.bomtoon.com/detail/howGlove" TargetMode="External"/><Relationship Id="rId7" Type="http://schemas.openxmlformats.org/officeDocument/2006/relationships/hyperlink" Target="https://series.naver.com/comic/detail.series?productNo=6387504" TargetMode="External"/><Relationship Id="rId145" Type="http://schemas.openxmlformats.org/officeDocument/2006/relationships/hyperlink" Target="https://www.webtoons.com/en/canvas/fruits-fruits/list?title_no=440037" TargetMode="External"/><Relationship Id="rId8" Type="http://schemas.openxmlformats.org/officeDocument/2006/relationships/hyperlink" Target="https://www.webtoons.com/en/romance/double-binded-by-love/list?title_no=3438" TargetMode="External"/><Relationship Id="rId144" Type="http://schemas.openxmlformats.org/officeDocument/2006/relationships/hyperlink" Target="https://page.kakao.com/content/66085495" TargetMode="External"/><Relationship Id="rId73" Type="http://schemas.openxmlformats.org/officeDocument/2006/relationships/hyperlink" Target="https://page.kakao.com/home?seriesId=56453386" TargetMode="External"/><Relationship Id="rId72" Type="http://schemas.openxmlformats.org/officeDocument/2006/relationships/hyperlink" Target="https://page.kakao.com/content/53397318" TargetMode="External"/><Relationship Id="rId75" Type="http://schemas.openxmlformats.org/officeDocument/2006/relationships/hyperlink" Target="https://www.webtoons.com/en/canvas/wolves-angels-and-demons/list?title_no=356838" TargetMode="External"/><Relationship Id="rId74" Type="http://schemas.openxmlformats.org/officeDocument/2006/relationships/hyperlink" Target="https://page.kakao.com/home?seriesId=51205580" TargetMode="External"/><Relationship Id="rId77" Type="http://schemas.openxmlformats.org/officeDocument/2006/relationships/hyperlink" Target="https://page.kakao.com/home?seriesId=50914223" TargetMode="External"/><Relationship Id="rId76" Type="http://schemas.openxmlformats.org/officeDocument/2006/relationships/hyperlink" Target="https://ridibooks.com/books/3097001093?_rdt_sid=library_detail&amp;_rdt_idx=0" TargetMode="External"/><Relationship Id="rId79" Type="http://schemas.openxmlformats.org/officeDocument/2006/relationships/hyperlink" Target="https://page.kakao.com/home?seriesId=50391329" TargetMode="External"/><Relationship Id="rId78" Type="http://schemas.openxmlformats.org/officeDocument/2006/relationships/hyperlink" Target="https://page.kakao.com/home?seriesId=58439503&amp;orderby=asc" TargetMode="External"/><Relationship Id="rId71" Type="http://schemas.openxmlformats.org/officeDocument/2006/relationships/hyperlink" Target="https://webtoon.kakao.com/content/%EB%B2%A0%ED%85%94%EA%B2%8C%EC%9A%B0%EC%8A%A4/3639" TargetMode="External"/><Relationship Id="rId70" Type="http://schemas.openxmlformats.org/officeDocument/2006/relationships/hyperlink" Target="https://series.naver.com/comic/detail.series?productNo=5891643" TargetMode="External"/><Relationship Id="rId139" Type="http://schemas.openxmlformats.org/officeDocument/2006/relationships/hyperlink" Target="https://www.bomtoon.com/comic/ep_list/house/?p_id=tw1386" TargetMode="External"/><Relationship Id="rId138" Type="http://schemas.openxmlformats.org/officeDocument/2006/relationships/hyperlink" Target="https://page.kakao.com/home?seriesId=59145452" TargetMode="External"/><Relationship Id="rId137" Type="http://schemas.openxmlformats.org/officeDocument/2006/relationships/hyperlink" Target="https://www.webtoons.com/en/canvas/heaven-sent-/list?title_no=679412" TargetMode="External"/><Relationship Id="rId132" Type="http://schemas.openxmlformats.org/officeDocument/2006/relationships/hyperlink" Target="https://series.naver.com/comic/detail.series?productNo=4020938" TargetMode="External"/><Relationship Id="rId131" Type="http://schemas.openxmlformats.org/officeDocument/2006/relationships/hyperlink" Target="https://page.kakao.com/content/61615337" TargetMode="External"/><Relationship Id="rId130" Type="http://schemas.openxmlformats.org/officeDocument/2006/relationships/hyperlink" Target="https://page.kakao.com/home?seriesId=49713363&amp;orderby=desc" TargetMode="External"/><Relationship Id="rId136" Type="http://schemas.openxmlformats.org/officeDocument/2006/relationships/hyperlink" Target="https://ridibooks.com/books/3097000810" TargetMode="External"/><Relationship Id="rId135" Type="http://schemas.openxmlformats.org/officeDocument/2006/relationships/hyperlink" Target="https://page.kakao.com/home?seriesId=52030547" TargetMode="External"/><Relationship Id="rId134" Type="http://schemas.openxmlformats.org/officeDocument/2006/relationships/hyperlink" Target="https://www.webtoons.com/en/canvas/heaven-sent-/list?title_no=679412" TargetMode="External"/><Relationship Id="rId133" Type="http://schemas.openxmlformats.org/officeDocument/2006/relationships/hyperlink" Target="https://www.bomtoon.com/detail/young_blood" TargetMode="External"/><Relationship Id="rId62" Type="http://schemas.openxmlformats.org/officeDocument/2006/relationships/hyperlink" Target="https://comic.naver.com/webtoon/list?titleId=632330" TargetMode="External"/><Relationship Id="rId61" Type="http://schemas.openxmlformats.org/officeDocument/2006/relationships/hyperlink" Target="https://comic.naver.com/webtoon/list?titleId=733280" TargetMode="External"/><Relationship Id="rId64" Type="http://schemas.openxmlformats.org/officeDocument/2006/relationships/hyperlink" Target="https://tapas.io/series/the-odd-one-next-door/info?utm_source=chatgpt.com" TargetMode="External"/><Relationship Id="rId63" Type="http://schemas.openxmlformats.org/officeDocument/2006/relationships/hyperlink" Target="https://page.kakao.com/home?seriesId=58408884" TargetMode="External"/><Relationship Id="rId66" Type="http://schemas.openxmlformats.org/officeDocument/2006/relationships/hyperlink" Target="https://comic.naver.com/challenge/list?titleId=621139" TargetMode="External"/><Relationship Id="rId65" Type="http://schemas.openxmlformats.org/officeDocument/2006/relationships/hyperlink" Target="https://ridibooks.com/books/3097000702?_s=search&amp;_q=%EB%82%98%EC%81%98%EB%8B%88%EA%B9%8C&amp;_rdt_sid=search&amp;_rdt_idx=0" TargetMode="External"/><Relationship Id="rId68" Type="http://schemas.openxmlformats.org/officeDocument/2006/relationships/hyperlink" Target="https://page.kakao.com/home?seriesId=53764524" TargetMode="External"/><Relationship Id="rId67" Type="http://schemas.openxmlformats.org/officeDocument/2006/relationships/hyperlink" Target="https://page.kakao.com/content/59145452" TargetMode="External"/><Relationship Id="rId60" Type="http://schemas.openxmlformats.org/officeDocument/2006/relationships/hyperlink" Target="https://page.kakao.com/home?seriesId=58717191" TargetMode="External"/><Relationship Id="rId69" Type="http://schemas.openxmlformats.org/officeDocument/2006/relationships/hyperlink" Target="https://series.naver.com/comic/detail.series?productNo=3513129" TargetMode="External"/><Relationship Id="rId51" Type="http://schemas.openxmlformats.org/officeDocument/2006/relationships/hyperlink" Target="https://page.kakao.com/home/53764621" TargetMode="External"/><Relationship Id="rId50" Type="http://schemas.openxmlformats.org/officeDocument/2006/relationships/hyperlink" Target="https://comic.naver.com/webtoon/list?titleId=740034" TargetMode="External"/><Relationship Id="rId53" Type="http://schemas.openxmlformats.org/officeDocument/2006/relationships/hyperlink" Target="https://comic.naver.com/webtoon/list?titleId=734012" TargetMode="External"/><Relationship Id="rId52" Type="http://schemas.openxmlformats.org/officeDocument/2006/relationships/hyperlink" Target="https://page.kakao.com/home?seriesId=53488000" TargetMode="External"/><Relationship Id="rId55" Type="http://schemas.openxmlformats.org/officeDocument/2006/relationships/hyperlink" Target="https://comic.naver.com/webtoon/list?titleId=710750" TargetMode="External"/><Relationship Id="rId54" Type="http://schemas.openxmlformats.org/officeDocument/2006/relationships/hyperlink" Target="https://page.kakao.com/content/58437842" TargetMode="External"/><Relationship Id="rId57" Type="http://schemas.openxmlformats.org/officeDocument/2006/relationships/hyperlink" Target="https://comic.naver.com/webtoon/list?titleId=616239&amp;weekday=tue" TargetMode="External"/><Relationship Id="rId56" Type="http://schemas.openxmlformats.org/officeDocument/2006/relationships/hyperlink" Target="https://page.kakao.com/home?seriesId=49256586" TargetMode="External"/><Relationship Id="rId59" Type="http://schemas.openxmlformats.org/officeDocument/2006/relationships/hyperlink" Target="https://page.kakao.com/home?seriesId=53419580" TargetMode="External"/><Relationship Id="rId58" Type="http://schemas.openxmlformats.org/officeDocument/2006/relationships/hyperlink" Target="https://page.kakao.com/home?seriesId=51649140" TargetMode="External"/><Relationship Id="rId15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drawing" Target="../drawings/drawing4.xml"/><Relationship Id="rId11" Type="http://schemas.openxmlformats.org/officeDocument/2006/relationships/hyperlink" Target="https://manta.net/en/series/the-butterfly-girl?seriesId=1203" TargetMode="External"/><Relationship Id="rId10" Type="http://schemas.openxmlformats.org/officeDocument/2006/relationships/hyperlink" Target="https://www.webtoons.com/en/romance/phone-addict/list?title_no=4187&amp;utm_source=chatgpt.com" TargetMode="External"/><Relationship Id="rId13" Type="http://schemas.openxmlformats.org/officeDocument/2006/relationships/hyperlink" Target="https://manta.net/en/series/wild-idols?seriesId=1329" TargetMode="External"/><Relationship Id="rId12" Type="http://schemas.openxmlformats.org/officeDocument/2006/relationships/hyperlink" Target="https://manta.net/en/series/the-butterfly-girl?seriesId=1203" TargetMode="External"/><Relationship Id="rId15" Type="http://schemas.openxmlformats.org/officeDocument/2006/relationships/hyperlink" Target="https://manta.net/en/series/idol-house?seriesId=1171&amp;utm_source=chatgpt.com" TargetMode="External"/><Relationship Id="rId14" Type="http://schemas.openxmlformats.org/officeDocument/2006/relationships/hyperlink" Target="https://manta.net/en/series/wild-idols?seriesId=1329" TargetMode="External"/><Relationship Id="rId17" Type="http://schemas.openxmlformats.org/officeDocument/2006/relationships/hyperlink" Target="https://manta.net/en/series/boy-from-the-future?seriesId=1202" TargetMode="External"/><Relationship Id="rId16" Type="http://schemas.openxmlformats.org/officeDocument/2006/relationships/hyperlink" Target="https://manta.net/en/series/idol-house?seriesId=1171&amp;utm_source=chatgpt.com" TargetMode="External"/><Relationship Id="rId19" Type="http://schemas.openxmlformats.org/officeDocument/2006/relationships/hyperlink" Target="https://manta.net/en/series/ideal-us?seriesId=1294" TargetMode="External"/><Relationship Id="rId18" Type="http://schemas.openxmlformats.org/officeDocument/2006/relationships/hyperlink" Target="https://manta.net/en/series/boy-from-the-future?seriesId=1202" TargetMode="External"/><Relationship Id="rId1" Type="http://schemas.openxmlformats.org/officeDocument/2006/relationships/hyperlink" Target="https://manta.net/en/series/does-love-need-a-translator?seriesId=1149" TargetMode="External"/><Relationship Id="rId2" Type="http://schemas.openxmlformats.org/officeDocument/2006/relationships/hyperlink" Target="https://lalatoon.com/en/webtoon/episode/toon/7054" TargetMode="External"/><Relationship Id="rId3" Type="http://schemas.openxmlformats.org/officeDocument/2006/relationships/hyperlink" Target="https://lalatoon.com/en/webtoon/episode/toon/7054" TargetMode="External"/><Relationship Id="rId4" Type="http://schemas.openxmlformats.org/officeDocument/2006/relationships/hyperlink" Target="https://www.webtoons.com/en/romance/double-binded-by-love/list?title_no=3438" TargetMode="External"/><Relationship Id="rId9" Type="http://schemas.openxmlformats.org/officeDocument/2006/relationships/hyperlink" Target="https://manta.net/en/series/crush-on-you?seriesId=1173" TargetMode="External"/><Relationship Id="rId5" Type="http://schemas.openxmlformats.org/officeDocument/2006/relationships/hyperlink" Target="https://www.webtoons.com/en/romance/double-binded-by-love/list?title_no=3438" TargetMode="External"/><Relationship Id="rId6" Type="http://schemas.openxmlformats.org/officeDocument/2006/relationships/hyperlink" Target="https://mangatoto.com/series/109126" TargetMode="External"/><Relationship Id="rId7" Type="http://schemas.openxmlformats.org/officeDocument/2006/relationships/hyperlink" Target="https://mangatoto.com/series/109126" TargetMode="External"/><Relationship Id="rId8" Type="http://schemas.openxmlformats.org/officeDocument/2006/relationships/hyperlink" Target="https://manta.net/en/series/crush-on-you?seriesId=117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3.13"/>
    <col customWidth="1" min="2" max="2" width="17.0"/>
    <col customWidth="1" min="6" max="6" width="11.0"/>
    <col customWidth="1" hidden="1" min="7" max="9" width="11.0"/>
    <col customWidth="1" min="10" max="11" width="30.25"/>
    <col customWidth="1" min="17" max="17" width="65.25"/>
  </cols>
  <sheetData>
    <row r="1">
      <c r="A1" s="1" t="s">
        <v>0</v>
      </c>
      <c r="B1" s="2" t="s">
        <v>1</v>
      </c>
      <c r="C1" s="3" t="s">
        <v>2</v>
      </c>
      <c r="D1" s="4" t="s">
        <v>3</v>
      </c>
      <c r="E1" s="5" t="s">
        <v>4</v>
      </c>
      <c r="F1" s="6" t="s">
        <v>5</v>
      </c>
      <c r="J1" s="7" t="s">
        <v>6</v>
      </c>
      <c r="K1" s="8" t="s">
        <v>7</v>
      </c>
      <c r="L1" s="9" t="s">
        <v>8</v>
      </c>
      <c r="M1" s="10" t="s">
        <v>9</v>
      </c>
      <c r="N1" s="11" t="s">
        <v>10</v>
      </c>
      <c r="O1" s="12" t="s">
        <v>11</v>
      </c>
      <c r="P1" s="12" t="s">
        <v>12</v>
      </c>
      <c r="Q1" s="2" t="s">
        <v>13</v>
      </c>
      <c r="R1" s="11" t="s">
        <v>14</v>
      </c>
      <c r="S1" s="11" t="s">
        <v>15</v>
      </c>
      <c r="T1" s="12" t="s">
        <v>16</v>
      </c>
      <c r="U1" s="12" t="s">
        <v>17</v>
      </c>
    </row>
    <row r="2">
      <c r="A2" s="13" t="s">
        <v>18</v>
      </c>
      <c r="B2" s="14" t="s">
        <v>19</v>
      </c>
      <c r="C2" s="15" t="s">
        <v>20</v>
      </c>
      <c r="D2" s="16" t="s">
        <v>21</v>
      </c>
      <c r="E2" s="17"/>
      <c r="F2" s="18"/>
      <c r="G2" s="18"/>
      <c r="H2" s="18"/>
      <c r="I2" s="18"/>
      <c r="J2" s="8" t="s">
        <v>22</v>
      </c>
      <c r="K2" s="8" t="str">
        <f>IFERROR(__xludf.DUMMYFUNCTION("GOOGLETRANSLATE(J2)"),"110,000 Kakao Page subscribers
Serialized in North America")</f>
        <v>110,000 Kakao Page subscribers
Serialized in North America</v>
      </c>
      <c r="L2" s="19">
        <v>6210000.0</v>
      </c>
      <c r="M2" s="19">
        <v>9900.0</v>
      </c>
      <c r="N2" s="20" t="s">
        <v>23</v>
      </c>
      <c r="O2" s="20" t="s">
        <v>23</v>
      </c>
      <c r="P2" s="21"/>
      <c r="Q2" s="22" t="s">
        <v>24</v>
      </c>
      <c r="R2" s="20" t="s">
        <v>25</v>
      </c>
      <c r="S2" s="20" t="s">
        <v>26</v>
      </c>
      <c r="T2" s="20" t="s">
        <v>27</v>
      </c>
      <c r="U2" s="20"/>
    </row>
    <row r="3">
      <c r="A3" s="13" t="s">
        <v>28</v>
      </c>
      <c r="B3" s="23" t="s">
        <v>29</v>
      </c>
      <c r="C3" s="15" t="s">
        <v>30</v>
      </c>
      <c r="D3" s="24" t="s">
        <v>31</v>
      </c>
      <c r="E3" s="17"/>
      <c r="F3" s="18"/>
      <c r="G3" s="18"/>
      <c r="H3" s="18"/>
      <c r="I3" s="18"/>
      <c r="J3" s="8" t="s">
        <v>32</v>
      </c>
      <c r="K3" s="8" t="str">
        <f>IFERROR(__xludf.DUMMYFUNCTION("GOOGLETRANSLATE(J3)"),"North American serialization")</f>
        <v>North American serialization</v>
      </c>
      <c r="L3" s="19" t="s">
        <v>29</v>
      </c>
      <c r="M3" s="19" t="s">
        <v>29</v>
      </c>
      <c r="N3" s="20" t="s">
        <v>33</v>
      </c>
      <c r="O3" s="20" t="s">
        <v>33</v>
      </c>
      <c r="P3" s="21"/>
      <c r="Q3" s="22" t="s">
        <v>34</v>
      </c>
      <c r="R3" s="20" t="s">
        <v>25</v>
      </c>
      <c r="S3" s="20" t="s">
        <v>26</v>
      </c>
      <c r="T3" s="20" t="s">
        <v>35</v>
      </c>
      <c r="U3" s="20"/>
    </row>
    <row r="4">
      <c r="A4" s="13" t="s">
        <v>36</v>
      </c>
      <c r="B4" s="14" t="s">
        <v>37</v>
      </c>
      <c r="C4" s="15" t="s">
        <v>38</v>
      </c>
      <c r="D4" s="24" t="s">
        <v>39</v>
      </c>
      <c r="E4" s="17"/>
      <c r="F4" s="18"/>
      <c r="G4" s="18"/>
      <c r="H4" s="18"/>
      <c r="I4" s="18"/>
      <c r="J4" s="8" t="s">
        <v>40</v>
      </c>
      <c r="K4" s="8" t="str">
        <f>IFERROR(__xludf.DUMMYFUNCTION("GOOGLETRANSLATE(J4)"),"Serialized in Japan and North America")</f>
        <v>Serialized in Japan and North America</v>
      </c>
      <c r="L4" s="19" t="s">
        <v>29</v>
      </c>
      <c r="M4" s="19" t="s">
        <v>29</v>
      </c>
      <c r="N4" s="20" t="s">
        <v>41</v>
      </c>
      <c r="O4" s="20" t="s">
        <v>42</v>
      </c>
      <c r="P4" s="21"/>
      <c r="Q4" s="22" t="s">
        <v>43</v>
      </c>
      <c r="R4" s="20" t="s">
        <v>25</v>
      </c>
      <c r="S4" s="20" t="s">
        <v>26</v>
      </c>
      <c r="T4" s="20" t="s">
        <v>44</v>
      </c>
      <c r="U4" s="20"/>
    </row>
    <row r="5">
      <c r="A5" s="13" t="s">
        <v>45</v>
      </c>
      <c r="B5" s="25" t="s">
        <v>46</v>
      </c>
      <c r="C5" s="26" t="s">
        <v>47</v>
      </c>
      <c r="D5" s="24" t="s">
        <v>48</v>
      </c>
      <c r="E5" s="17"/>
      <c r="F5" s="18"/>
      <c r="G5" s="18"/>
      <c r="H5" s="18"/>
      <c r="I5" s="18"/>
      <c r="J5" s="8" t="s">
        <v>32</v>
      </c>
      <c r="K5" s="8" t="str">
        <f>IFERROR(__xludf.DUMMYFUNCTION("GOOGLETRANSLATE(J5)"),"North American serialization")</f>
        <v>North American serialization</v>
      </c>
      <c r="L5" s="19">
        <v>21000.0</v>
      </c>
      <c r="M5" s="19" t="s">
        <v>29</v>
      </c>
      <c r="N5" s="20" t="s">
        <v>49</v>
      </c>
      <c r="O5" s="20" t="s">
        <v>49</v>
      </c>
      <c r="P5" s="21"/>
      <c r="Q5" s="22" t="s">
        <v>50</v>
      </c>
      <c r="R5" s="20" t="s">
        <v>25</v>
      </c>
      <c r="S5" s="20" t="s">
        <v>51</v>
      </c>
      <c r="T5" s="20" t="s">
        <v>27</v>
      </c>
      <c r="U5" s="20"/>
    </row>
    <row r="6">
      <c r="A6" s="13" t="s">
        <v>52</v>
      </c>
      <c r="B6" s="25" t="s">
        <v>53</v>
      </c>
      <c r="C6" s="26" t="s">
        <v>54</v>
      </c>
      <c r="D6" s="24" t="s">
        <v>55</v>
      </c>
      <c r="E6" s="17"/>
      <c r="F6" s="27" t="s">
        <v>56</v>
      </c>
      <c r="G6" s="28"/>
      <c r="H6" s="28"/>
      <c r="I6" s="28"/>
      <c r="J6" s="8" t="s">
        <v>57</v>
      </c>
      <c r="K6" s="29" t="str">
        <f>IFERROR(__xludf.DUMMYFUNCTION("GOOGLETRANSLATE(J6)"),"- The next work by Son Gil, who debuted with ""Nalari"" on Pikitoon - A million-page Kakao Page hit - 1.2 million subscribers on Kakao Page - Serialized in Indonesia, Spain-North America, Taiwan, Thailand, Japan, and China
- Drama contract completed (Cont"&amp;"ract expires October 2, 2025 -&gt; Automatic one-year extension clause)")</f>
        <v>- The next work by Son Gil, who debuted with "Nalari" on Pikitoon - A million-page Kakao Page hit - 1.2 million subscribers on Kakao Page - Serialized in Indonesia, Spain-North America, Taiwan, Thailand, Japan, and China
- Drama contract completed (Contract expires October 2, 2025 -&gt; Automatic one-year extension clause)</v>
      </c>
      <c r="L6" s="19">
        <v>9.014E7</v>
      </c>
      <c r="M6" s="19">
        <v>10000.0</v>
      </c>
      <c r="N6" s="20" t="s">
        <v>58</v>
      </c>
      <c r="O6" s="20" t="s">
        <v>58</v>
      </c>
      <c r="P6" s="21"/>
      <c r="Q6" s="22" t="s">
        <v>59</v>
      </c>
      <c r="R6" s="20" t="s">
        <v>25</v>
      </c>
      <c r="S6" s="20" t="s">
        <v>26</v>
      </c>
      <c r="T6" s="20" t="s">
        <v>60</v>
      </c>
      <c r="U6" s="20"/>
    </row>
    <row r="7">
      <c r="A7" s="13" t="s">
        <v>61</v>
      </c>
      <c r="B7" s="25" t="s">
        <v>62</v>
      </c>
      <c r="C7" s="26" t="s">
        <v>63</v>
      </c>
      <c r="D7" s="30"/>
      <c r="E7" s="17"/>
      <c r="F7" s="18"/>
      <c r="G7" s="18"/>
      <c r="H7" s="18"/>
      <c r="I7" s="18"/>
      <c r="J7" s="8" t="s">
        <v>64</v>
      </c>
      <c r="K7" s="8" t="str">
        <f>IFERROR(__xludf.DUMMYFUNCTION("GOOGLETRANSLATE(J7)"),"Serialized in Germany, Spain, Indonesia, Thailand, China, and North America")</f>
        <v>Serialized in Germany, Spain, Indonesia, Thailand, China, and North America</v>
      </c>
      <c r="L7" s="19">
        <v>1980000.0</v>
      </c>
      <c r="M7" s="19">
        <v>9900.0</v>
      </c>
      <c r="N7" s="20" t="s">
        <v>65</v>
      </c>
      <c r="O7" s="20" t="s">
        <v>65</v>
      </c>
      <c r="P7" s="21"/>
      <c r="Q7" s="22" t="s">
        <v>66</v>
      </c>
      <c r="R7" s="20" t="s">
        <v>25</v>
      </c>
      <c r="S7" s="20" t="s">
        <v>26</v>
      </c>
      <c r="T7" s="20" t="s">
        <v>67</v>
      </c>
      <c r="U7" s="20"/>
    </row>
    <row r="8">
      <c r="A8" s="13" t="s">
        <v>68</v>
      </c>
      <c r="B8" s="25" t="s">
        <v>69</v>
      </c>
      <c r="C8" s="26" t="s">
        <v>70</v>
      </c>
      <c r="D8" s="24" t="s">
        <v>71</v>
      </c>
      <c r="E8" s="17"/>
      <c r="F8" s="18"/>
      <c r="G8" s="18"/>
      <c r="H8" s="18"/>
      <c r="I8" s="18"/>
      <c r="J8" s="8" t="s">
        <v>72</v>
      </c>
      <c r="K8" s="8" t="str">
        <f>IFERROR(__xludf.DUMMYFUNCTION("GOOGLETRANSLATE(J8)"),"134,000 subscribers
Serialized overseas in Spain and North America")</f>
        <v>134,000 subscribers
Serialized overseas in Spain and North America</v>
      </c>
      <c r="L8" s="19">
        <v>4138000.0</v>
      </c>
      <c r="M8" s="19" t="s">
        <v>29</v>
      </c>
      <c r="N8" s="20" t="s">
        <v>73</v>
      </c>
      <c r="O8" s="20" t="s">
        <v>73</v>
      </c>
      <c r="P8" s="21"/>
      <c r="Q8" s="22" t="s">
        <v>74</v>
      </c>
      <c r="R8" s="20" t="s">
        <v>25</v>
      </c>
      <c r="S8" s="20" t="s">
        <v>26</v>
      </c>
      <c r="T8" s="20" t="s">
        <v>75</v>
      </c>
      <c r="U8" s="20"/>
    </row>
    <row r="9">
      <c r="A9" s="13" t="s">
        <v>76</v>
      </c>
      <c r="B9" s="14" t="s">
        <v>77</v>
      </c>
      <c r="C9" s="26" t="s">
        <v>78</v>
      </c>
      <c r="D9" s="24" t="s">
        <v>79</v>
      </c>
      <c r="E9" s="17"/>
      <c r="F9" s="18"/>
      <c r="G9" s="18"/>
      <c r="H9" s="18"/>
      <c r="I9" s="18"/>
      <c r="J9" s="8" t="s">
        <v>80</v>
      </c>
      <c r="K9" s="8" t="str">
        <f>IFERROR(__xludf.DUMMYFUNCTION("GOOGLETRANSLATE(J9)"),"Serialized in North America, Japan, Taiwan, and Thailand")</f>
        <v>Serialized in North America, Japan, Taiwan, and Thailand</v>
      </c>
      <c r="L9" s="19">
        <v>310000.0</v>
      </c>
      <c r="M9" s="19">
        <v>9900.0</v>
      </c>
      <c r="N9" s="20" t="s">
        <v>81</v>
      </c>
      <c r="O9" s="20" t="s">
        <v>82</v>
      </c>
      <c r="P9" s="21"/>
      <c r="Q9" s="22" t="s">
        <v>83</v>
      </c>
      <c r="R9" s="20" t="s">
        <v>25</v>
      </c>
      <c r="S9" s="20" t="s">
        <v>26</v>
      </c>
      <c r="T9" s="20" t="s">
        <v>75</v>
      </c>
      <c r="U9" s="20"/>
    </row>
    <row r="10">
      <c r="A10" s="13" t="s">
        <v>84</v>
      </c>
      <c r="B10" s="14" t="s">
        <v>85</v>
      </c>
      <c r="C10" s="26" t="s">
        <v>86</v>
      </c>
      <c r="D10" s="24" t="s">
        <v>87</v>
      </c>
      <c r="E10" s="17"/>
      <c r="F10" s="18"/>
      <c r="G10" s="18"/>
      <c r="H10" s="18"/>
      <c r="I10" s="18"/>
      <c r="J10" s="8" t="s">
        <v>88</v>
      </c>
      <c r="K10" s="8" t="str">
        <f>IFERROR(__xludf.DUMMYFUNCTION("GOOGLETRANSLATE(J10)"),"- 430,000 Kakao Page subscribers
- 2018 Excellent Creator Support Project Winner
- Serialized in China, Japan, North America, and France
A short drama series is in production, but not yet confirmed.")</f>
        <v>- 430,000 Kakao Page subscribers
- 2018 Excellent Creator Support Project Winner
- Serialized in China, Japan, North America, and France
A short drama series is in production, but not yet confirmed.</v>
      </c>
      <c r="L10" s="19">
        <v>1.1055E7</v>
      </c>
      <c r="M10" s="19" t="s">
        <v>29</v>
      </c>
      <c r="N10" s="20" t="s">
        <v>89</v>
      </c>
      <c r="O10" s="20" t="s">
        <v>90</v>
      </c>
      <c r="P10" s="21"/>
      <c r="Q10" s="22" t="s">
        <v>91</v>
      </c>
      <c r="R10" s="20" t="s">
        <v>25</v>
      </c>
      <c r="S10" s="20" t="s">
        <v>26</v>
      </c>
      <c r="T10" s="20" t="s">
        <v>92</v>
      </c>
      <c r="U10" s="20"/>
    </row>
    <row r="11">
      <c r="A11" s="13" t="s">
        <v>93</v>
      </c>
      <c r="B11" s="14" t="s">
        <v>94</v>
      </c>
      <c r="C11" s="26" t="s">
        <v>95</v>
      </c>
      <c r="D11" s="24" t="s">
        <v>96</v>
      </c>
      <c r="E11" s="17"/>
      <c r="F11" s="31" t="s">
        <v>97</v>
      </c>
      <c r="G11" s="28"/>
      <c r="H11" s="28"/>
      <c r="I11" s="28"/>
      <c r="J11" s="8" t="s">
        <v>98</v>
      </c>
      <c r="K11" s="8" t="str">
        <f>IFERROR(__xludf.DUMMYFUNCTION("GOOGLETRANSLATE(J11)"),"- The next work by the author of a guaranteed hit - 1.5 million subscribers on Kakao Page, reaching the million-page mark - Published as a book after gaining popularity with the unique genre of ""Time Leap"" - Popular globally: Serialized in Indonesia, Sp"&amp;"ain, North America, Taiwan, Thailand, Japan, and China
- Video contract completed (Contract expires on December 23, 2025 -&gt; Automatic one-year extension clause)")</f>
        <v>- The next work by the author of a guaranteed hit - 1.5 million subscribers on Kakao Page, reaching the million-page mark - Published as a book after gaining popularity with the unique genre of "Time Leap" - Popular globally: Serialized in Indonesia, Spain, North America, Taiwan, Thailand, Japan, and China
- Video contract completed (Contract expires on December 23, 2025 -&gt; Automatic one-year extension clause)</v>
      </c>
      <c r="L11" s="19">
        <v>6.6345E7</v>
      </c>
      <c r="M11" s="19">
        <v>9900.0</v>
      </c>
      <c r="N11" s="20" t="s">
        <v>99</v>
      </c>
      <c r="O11" s="20" t="s">
        <v>99</v>
      </c>
      <c r="P11" s="21"/>
      <c r="Q11" s="22" t="s">
        <v>100</v>
      </c>
      <c r="R11" s="20" t="s">
        <v>25</v>
      </c>
      <c r="S11" s="20" t="s">
        <v>26</v>
      </c>
      <c r="T11" s="20" t="s">
        <v>27</v>
      </c>
      <c r="U11" s="20"/>
    </row>
    <row r="12">
      <c r="A12" s="13" t="s">
        <v>101</v>
      </c>
      <c r="B12" s="32" t="s">
        <v>29</v>
      </c>
      <c r="C12" s="26" t="s">
        <v>102</v>
      </c>
      <c r="D12" s="33" t="s">
        <v>103</v>
      </c>
      <c r="E12" s="17"/>
      <c r="F12" s="18"/>
      <c r="G12" s="18"/>
      <c r="H12" s="18"/>
      <c r="I12" s="18"/>
      <c r="J12" s="8" t="s">
        <v>104</v>
      </c>
      <c r="K12" s="8" t="str">
        <f>IFERROR(__xludf.DUMMYFUNCTION("GOOGLETRANSLATE(J12)"),"Published as a single volume
Serialized in Thailand, Spain, North America, and Japan")</f>
        <v>Published as a single volume
Serialized in Thailand, Spain, North America, and Japan</v>
      </c>
      <c r="L12" s="19" t="s">
        <v>29</v>
      </c>
      <c r="M12" s="19" t="s">
        <v>29</v>
      </c>
      <c r="N12" s="20" t="s">
        <v>105</v>
      </c>
      <c r="O12" s="20" t="s">
        <v>105</v>
      </c>
      <c r="P12" s="21"/>
      <c r="Q12" s="22" t="s">
        <v>106</v>
      </c>
      <c r="R12" s="20" t="s">
        <v>25</v>
      </c>
      <c r="S12" s="20" t="s">
        <v>26</v>
      </c>
      <c r="T12" s="20" t="s">
        <v>107</v>
      </c>
      <c r="U12" s="20"/>
    </row>
    <row r="13">
      <c r="A13" s="13" t="s">
        <v>108</v>
      </c>
      <c r="B13" s="14" t="s">
        <v>109</v>
      </c>
      <c r="C13" s="34" t="s">
        <v>109</v>
      </c>
      <c r="D13" s="35"/>
      <c r="E13" s="17"/>
      <c r="F13" s="18"/>
      <c r="G13" s="18"/>
      <c r="H13" s="18"/>
      <c r="I13" s="18"/>
      <c r="J13" s="8" t="s">
        <v>110</v>
      </c>
      <c r="K13" s="8" t="str">
        <f>IFERROR(__xludf.DUMMYFUNCTION("GOOGLETRANSLATE(J13)"),"Bufftoon Views: 2.3 million
Serialized in Japan")</f>
        <v>Bufftoon Views: 2.3 million
Serialized in Japan</v>
      </c>
      <c r="L13" s="19">
        <v>2300000.0</v>
      </c>
      <c r="M13" s="19" t="s">
        <v>29</v>
      </c>
      <c r="N13" s="20" t="s">
        <v>111</v>
      </c>
      <c r="O13" s="20" t="s">
        <v>112</v>
      </c>
      <c r="P13" s="21"/>
      <c r="Q13" s="22" t="s">
        <v>113</v>
      </c>
      <c r="R13" s="20" t="s">
        <v>25</v>
      </c>
      <c r="S13" s="20" t="s">
        <v>26</v>
      </c>
      <c r="T13" s="20" t="s">
        <v>27</v>
      </c>
      <c r="U13" s="20"/>
    </row>
    <row r="14">
      <c r="A14" s="13" t="s">
        <v>114</v>
      </c>
      <c r="B14" s="14" t="s">
        <v>115</v>
      </c>
      <c r="C14" s="26"/>
      <c r="D14" s="33"/>
      <c r="E14" s="17"/>
      <c r="F14" s="18"/>
      <c r="G14" s="18"/>
      <c r="H14" s="18"/>
      <c r="I14" s="18"/>
      <c r="J14" s="36"/>
      <c r="K14" s="8" t="str">
        <f>IFERROR(__xludf.DUMMYFUNCTION("GOOGLETRANSLATE(J14)"),"#VALUE!")</f>
        <v>#VALUE!</v>
      </c>
      <c r="L14" s="19" t="s">
        <v>29</v>
      </c>
      <c r="M14" s="19">
        <v>97300.0</v>
      </c>
      <c r="N14" s="20" t="s">
        <v>116</v>
      </c>
      <c r="O14" s="20" t="s">
        <v>116</v>
      </c>
      <c r="P14" s="21"/>
      <c r="Q14" s="22" t="s">
        <v>117</v>
      </c>
      <c r="R14" s="20" t="s">
        <v>25</v>
      </c>
      <c r="S14" s="20" t="s">
        <v>26</v>
      </c>
      <c r="T14" s="20" t="s">
        <v>118</v>
      </c>
      <c r="U14" s="20"/>
    </row>
    <row r="15">
      <c r="A15" s="37" t="s">
        <v>119</v>
      </c>
      <c r="B15" s="23" t="s">
        <v>29</v>
      </c>
      <c r="C15" s="38"/>
      <c r="D15" s="17"/>
      <c r="E15" s="17"/>
      <c r="F15" s="18"/>
      <c r="G15" s="18"/>
      <c r="H15" s="18"/>
      <c r="I15" s="18"/>
      <c r="J15" s="8" t="s">
        <v>120</v>
      </c>
      <c r="K15" s="8" t="str">
        <f>IFERROR(__xludf.DUMMYFUNCTION("GOOGLETRANSLATE(J15)"),"1.8 million subscribers
Serialized in Japan")</f>
        <v>1.8 million subscribers
Serialized in Japan</v>
      </c>
      <c r="L15" s="19" t="s">
        <v>29</v>
      </c>
      <c r="M15" s="19" t="s">
        <v>29</v>
      </c>
      <c r="N15" s="20" t="s">
        <v>121</v>
      </c>
      <c r="O15" s="20" t="s">
        <v>121</v>
      </c>
      <c r="P15" s="21"/>
      <c r="Q15" s="22" t="s">
        <v>122</v>
      </c>
      <c r="R15" s="20" t="s">
        <v>25</v>
      </c>
      <c r="S15" s="20" t="s">
        <v>26</v>
      </c>
      <c r="T15" s="20" t="s">
        <v>123</v>
      </c>
      <c r="U15" s="20"/>
    </row>
    <row r="16">
      <c r="A16" s="37" t="s">
        <v>124</v>
      </c>
      <c r="B16" s="14" t="s">
        <v>125</v>
      </c>
      <c r="C16" s="39"/>
      <c r="D16" s="17"/>
      <c r="E16" s="17"/>
      <c r="F16" s="18"/>
      <c r="G16" s="18"/>
      <c r="H16" s="18"/>
      <c r="I16" s="18"/>
      <c r="J16" s="8" t="s">
        <v>126</v>
      </c>
      <c r="K16" s="8" t="str">
        <f>IFERROR(__xludf.DUMMYFUNCTION("GOOGLETRANSLATE(J16)"),"Japanese serialization")</f>
        <v>Japanese serialization</v>
      </c>
      <c r="L16" s="19">
        <v>1725000.0</v>
      </c>
      <c r="M16" s="19" t="s">
        <v>29</v>
      </c>
      <c r="N16" s="20" t="s">
        <v>127</v>
      </c>
      <c r="O16" s="20" t="s">
        <v>128</v>
      </c>
      <c r="P16" s="21"/>
      <c r="Q16" s="22" t="s">
        <v>129</v>
      </c>
      <c r="R16" s="20" t="s">
        <v>25</v>
      </c>
      <c r="S16" s="20" t="s">
        <v>26</v>
      </c>
      <c r="T16" s="20" t="s">
        <v>130</v>
      </c>
      <c r="U16" s="20"/>
    </row>
    <row r="17">
      <c r="A17" s="37" t="s">
        <v>131</v>
      </c>
      <c r="B17" s="14" t="s">
        <v>132</v>
      </c>
      <c r="C17" s="39"/>
      <c r="D17" s="17"/>
      <c r="E17" s="17"/>
      <c r="F17" s="18"/>
      <c r="G17" s="18"/>
      <c r="H17" s="18"/>
      <c r="I17" s="18"/>
      <c r="J17" s="8"/>
      <c r="K17" s="8" t="str">
        <f>IFERROR(__xludf.DUMMYFUNCTION("GOOGLETRANSLATE(J17)"),"#VALUE!")</f>
        <v>#VALUE!</v>
      </c>
      <c r="L17" s="19" t="s">
        <v>29</v>
      </c>
      <c r="M17" s="19">
        <v>1354.0</v>
      </c>
      <c r="N17" s="20" t="s">
        <v>133</v>
      </c>
      <c r="O17" s="20" t="s">
        <v>134</v>
      </c>
      <c r="P17" s="20" t="s">
        <v>29</v>
      </c>
      <c r="Q17" s="22" t="s">
        <v>135</v>
      </c>
      <c r="R17" s="20" t="s">
        <v>136</v>
      </c>
      <c r="S17" s="20" t="s">
        <v>26</v>
      </c>
      <c r="T17" s="20" t="s">
        <v>137</v>
      </c>
      <c r="U17" s="20"/>
    </row>
    <row r="18">
      <c r="A18" s="37" t="s">
        <v>138</v>
      </c>
      <c r="B18" s="14" t="s">
        <v>139</v>
      </c>
      <c r="C18" s="39"/>
      <c r="D18" s="17"/>
      <c r="E18" s="17"/>
      <c r="F18" s="18"/>
      <c r="G18" s="18"/>
      <c r="H18" s="18"/>
      <c r="I18" s="18"/>
      <c r="J18" s="36"/>
      <c r="K18" s="8" t="str">
        <f>IFERROR(__xludf.DUMMYFUNCTION("GOOGLETRANSLATE(J18)"),"#VALUE!")</f>
        <v>#VALUE!</v>
      </c>
      <c r="L18" s="19" t="s">
        <v>29</v>
      </c>
      <c r="M18" s="19">
        <v>1400.0</v>
      </c>
      <c r="N18" s="20" t="s">
        <v>140</v>
      </c>
      <c r="O18" s="20" t="s">
        <v>141</v>
      </c>
      <c r="P18" s="21"/>
      <c r="Q18" s="22" t="s">
        <v>142</v>
      </c>
      <c r="R18" s="20" t="s">
        <v>25</v>
      </c>
      <c r="S18" s="20" t="s">
        <v>26</v>
      </c>
      <c r="T18" s="20" t="s">
        <v>143</v>
      </c>
      <c r="U18" s="20"/>
    </row>
    <row r="19">
      <c r="A19" s="37" t="s">
        <v>144</v>
      </c>
      <c r="B19" s="14" t="s">
        <v>145</v>
      </c>
      <c r="C19" s="39"/>
      <c r="D19" s="17"/>
      <c r="E19" s="17"/>
      <c r="F19" s="18"/>
      <c r="G19" s="18"/>
      <c r="H19" s="18"/>
      <c r="I19" s="18"/>
      <c r="J19" s="36"/>
      <c r="K19" s="8" t="str">
        <f>IFERROR(__xludf.DUMMYFUNCTION("GOOGLETRANSLATE(J19)"),"#VALUE!")</f>
        <v>#VALUE!</v>
      </c>
      <c r="L19" s="19">
        <v>1830000.0</v>
      </c>
      <c r="M19" s="19">
        <v>9900.0</v>
      </c>
      <c r="N19" s="20" t="s">
        <v>146</v>
      </c>
      <c r="O19" s="20" t="s">
        <v>147</v>
      </c>
      <c r="P19" s="21"/>
      <c r="Q19" s="22" t="s">
        <v>148</v>
      </c>
      <c r="R19" s="20" t="s">
        <v>25</v>
      </c>
      <c r="S19" s="20" t="s">
        <v>26</v>
      </c>
      <c r="T19" s="20" t="s">
        <v>149</v>
      </c>
      <c r="U19" s="20"/>
    </row>
    <row r="20">
      <c r="A20" s="37" t="s">
        <v>150</v>
      </c>
      <c r="B20" s="14" t="s">
        <v>151</v>
      </c>
      <c r="C20" s="39"/>
      <c r="D20" s="17"/>
      <c r="E20" s="17"/>
      <c r="F20" s="18"/>
      <c r="G20" s="18"/>
      <c r="H20" s="18"/>
      <c r="I20" s="18"/>
      <c r="J20" s="8" t="s">
        <v>152</v>
      </c>
      <c r="K20" s="8" t="str">
        <f>IFERROR(__xludf.DUMMYFUNCTION("GOOGLETRANSLATE(J20)"),"&lt;Bingi&gt; next work")</f>
        <v>&lt;Bingi&gt; next work</v>
      </c>
      <c r="L20" s="19" t="s">
        <v>29</v>
      </c>
      <c r="M20" s="19">
        <v>100677.0</v>
      </c>
      <c r="N20" s="20" t="s">
        <v>153</v>
      </c>
      <c r="O20" s="20" t="s">
        <v>141</v>
      </c>
      <c r="P20" s="21"/>
      <c r="Q20" s="22" t="s">
        <v>154</v>
      </c>
      <c r="R20" s="20" t="s">
        <v>25</v>
      </c>
      <c r="S20" s="20" t="s">
        <v>51</v>
      </c>
      <c r="T20" s="20" t="s">
        <v>155</v>
      </c>
      <c r="U20" s="20"/>
    </row>
    <row r="21">
      <c r="A21" s="37" t="s">
        <v>156</v>
      </c>
      <c r="B21" s="14" t="s">
        <v>157</v>
      </c>
      <c r="C21" s="39"/>
      <c r="D21" s="17"/>
      <c r="E21" s="17"/>
      <c r="F21" s="18"/>
      <c r="G21" s="18"/>
      <c r="H21" s="18"/>
      <c r="I21" s="18"/>
      <c r="J21" s="8" t="s">
        <v>158</v>
      </c>
      <c r="K21" s="8" t="str">
        <f>IFERROR(__xludf.DUMMYFUNCTION("GOOGLETRANSLATE(J21)"),"The next installment of ""Bingyi"" maintains its 7th place ranking on Naver Webtoon's weekly charts. It's gaining global popularity in Indonesia, Taiwan, and China.")</f>
        <v>The next installment of "Bingyi" maintains its 7th place ranking on Naver Webtoon's weekly charts. It's gaining global popularity in Indonesia, Taiwan, and China.</v>
      </c>
      <c r="L21" s="19" t="s">
        <v>29</v>
      </c>
      <c r="M21" s="19">
        <v>79698.0</v>
      </c>
      <c r="N21" s="20" t="s">
        <v>153</v>
      </c>
      <c r="O21" s="20" t="s">
        <v>141</v>
      </c>
      <c r="P21" s="21"/>
      <c r="Q21" s="22" t="s">
        <v>159</v>
      </c>
      <c r="R21" s="20" t="s">
        <v>25</v>
      </c>
      <c r="S21" s="20" t="s">
        <v>51</v>
      </c>
      <c r="T21" s="20" t="s">
        <v>155</v>
      </c>
      <c r="U21" s="20"/>
    </row>
    <row r="22">
      <c r="A22" s="37" t="s">
        <v>160</v>
      </c>
      <c r="B22" s="25" t="s">
        <v>161</v>
      </c>
      <c r="C22" s="39"/>
      <c r="D22" s="17"/>
      <c r="E22" s="17"/>
      <c r="F22" s="18"/>
      <c r="G22" s="18"/>
      <c r="H22" s="18"/>
      <c r="I22" s="18"/>
      <c r="J22" s="8" t="s">
        <v>29</v>
      </c>
      <c r="K22" s="8" t="str">
        <f>IFERROR(__xludf.DUMMYFUNCTION("GOOGLETRANSLATE(J22)"),"-")</f>
        <v>-</v>
      </c>
      <c r="L22" s="19" t="s">
        <v>29</v>
      </c>
      <c r="M22" s="19" t="s">
        <v>29</v>
      </c>
      <c r="N22" s="20" t="s">
        <v>162</v>
      </c>
      <c r="O22" s="20" t="s">
        <v>163</v>
      </c>
      <c r="P22" s="21"/>
      <c r="Q22" s="22" t="s">
        <v>164</v>
      </c>
      <c r="R22" s="20" t="s">
        <v>25</v>
      </c>
      <c r="S22" s="20" t="s">
        <v>51</v>
      </c>
      <c r="T22" s="20" t="s">
        <v>165</v>
      </c>
      <c r="U22" s="20"/>
    </row>
    <row r="23">
      <c r="A23" s="37" t="s">
        <v>166</v>
      </c>
      <c r="B23" s="14" t="s">
        <v>167</v>
      </c>
      <c r="C23" s="39"/>
      <c r="D23" s="17"/>
      <c r="E23" s="17"/>
      <c r="F23" s="18"/>
      <c r="G23" s="18"/>
      <c r="H23" s="18"/>
      <c r="I23" s="18"/>
      <c r="J23" s="8" t="s">
        <v>168</v>
      </c>
      <c r="K23" s="8" t="str">
        <f>IFERROR(__xludf.DUMMYFUNCTION("GOOGLETRANSLATE(J23)"),"110,000 subscribers, serialized in China")</f>
        <v>110,000 subscribers, serialized in China</v>
      </c>
      <c r="L23" s="19">
        <v>2730000.0</v>
      </c>
      <c r="M23" s="19">
        <v>9800.0</v>
      </c>
      <c r="N23" s="20" t="s">
        <v>49</v>
      </c>
      <c r="O23" s="20" t="s">
        <v>49</v>
      </c>
      <c r="P23" s="21"/>
      <c r="Q23" s="22" t="s">
        <v>169</v>
      </c>
      <c r="R23" s="20" t="s">
        <v>25</v>
      </c>
      <c r="S23" s="20" t="s">
        <v>26</v>
      </c>
      <c r="T23" s="20" t="s">
        <v>170</v>
      </c>
      <c r="U23" s="20"/>
    </row>
    <row r="24">
      <c r="A24" s="37" t="s">
        <v>171</v>
      </c>
      <c r="B24" s="14" t="s">
        <v>172</v>
      </c>
      <c r="C24" s="39"/>
      <c r="D24" s="17"/>
      <c r="E24" s="17"/>
      <c r="F24" s="18"/>
      <c r="G24" s="18"/>
      <c r="H24" s="18"/>
      <c r="I24" s="18"/>
      <c r="J24" s="8" t="s">
        <v>173</v>
      </c>
      <c r="K24" s="8" t="str">
        <f>IFERROR(__xludf.DUMMYFUNCTION("GOOGLETRANSLATE(J24)"),"Serialized in China and Japan")</f>
        <v>Serialized in China and Japan</v>
      </c>
      <c r="L24" s="19" t="s">
        <v>29</v>
      </c>
      <c r="M24" s="19" t="s">
        <v>29</v>
      </c>
      <c r="N24" s="20" t="s">
        <v>174</v>
      </c>
      <c r="O24" s="20" t="s">
        <v>175</v>
      </c>
      <c r="P24" s="21"/>
      <c r="Q24" s="22" t="s">
        <v>176</v>
      </c>
      <c r="R24" s="20" t="s">
        <v>25</v>
      </c>
      <c r="S24" s="20" t="s">
        <v>26</v>
      </c>
      <c r="T24" s="20" t="s">
        <v>27</v>
      </c>
      <c r="U24" s="20"/>
    </row>
    <row r="25">
      <c r="A25" s="37" t="s">
        <v>177</v>
      </c>
      <c r="B25" s="25" t="s">
        <v>178</v>
      </c>
      <c r="C25" s="39"/>
      <c r="D25" s="17"/>
      <c r="E25" s="17"/>
      <c r="F25" s="18"/>
      <c r="G25" s="18"/>
      <c r="H25" s="18"/>
      <c r="I25" s="18"/>
      <c r="J25" s="8" t="s">
        <v>179</v>
      </c>
      <c r="K25" s="8" t="str">
        <f>IFERROR(__xludf.DUMMYFUNCTION("GOOGLETRANSLATE(J25)"),"- Winners of the 2021 Kakao Page X Story Jam Webtoon Creation Contest
- Selected as an excellent project for the 2022 Creative Talent Partnership Project led by the Korea Creative Content Agency")</f>
        <v>- Winners of the 2021 Kakao Page X Story Jam Webtoon Creation Contest
- Selected as an excellent project for the 2022 Creative Talent Partnership Project led by the Korea Creative Content Agency</v>
      </c>
      <c r="L25" s="19">
        <v>284000.0</v>
      </c>
      <c r="M25" s="19" t="s">
        <v>29</v>
      </c>
      <c r="N25" s="20" t="s">
        <v>180</v>
      </c>
      <c r="O25" s="20" t="s">
        <v>181</v>
      </c>
      <c r="P25" s="21"/>
      <c r="Q25" s="22" t="s">
        <v>182</v>
      </c>
      <c r="R25" s="20" t="s">
        <v>25</v>
      </c>
      <c r="S25" s="20" t="s">
        <v>26</v>
      </c>
      <c r="T25" s="20" t="s">
        <v>35</v>
      </c>
      <c r="U25" s="20"/>
    </row>
    <row r="26">
      <c r="A26" s="37" t="s">
        <v>183</v>
      </c>
      <c r="B26" s="14" t="s">
        <v>184</v>
      </c>
      <c r="C26" s="39"/>
      <c r="D26" s="17"/>
      <c r="E26" s="17"/>
      <c r="F26" s="18"/>
      <c r="G26" s="18"/>
      <c r="H26" s="18"/>
      <c r="I26" s="18"/>
      <c r="J26" s="36"/>
      <c r="K26" s="8" t="str">
        <f>IFERROR(__xludf.DUMMYFUNCTION("GOOGLETRANSLATE(J26)"),"#VALUE!")</f>
        <v>#VALUE!</v>
      </c>
      <c r="L26" s="19">
        <v>587000.0</v>
      </c>
      <c r="M26" s="19" t="s">
        <v>29</v>
      </c>
      <c r="N26" s="20" t="s">
        <v>185</v>
      </c>
      <c r="O26" s="20" t="s">
        <v>141</v>
      </c>
      <c r="P26" s="21"/>
      <c r="Q26" s="22" t="s">
        <v>186</v>
      </c>
      <c r="R26" s="20" t="s">
        <v>25</v>
      </c>
      <c r="S26" s="20" t="s">
        <v>26</v>
      </c>
      <c r="T26" s="20" t="s">
        <v>187</v>
      </c>
      <c r="U26" s="20"/>
    </row>
    <row r="27">
      <c r="A27" s="37" t="s">
        <v>188</v>
      </c>
      <c r="B27" s="14" t="s">
        <v>189</v>
      </c>
      <c r="C27" s="38"/>
      <c r="D27" s="17"/>
      <c r="E27" s="17"/>
      <c r="F27" s="18"/>
      <c r="G27" s="18"/>
      <c r="H27" s="18"/>
      <c r="I27" s="18"/>
      <c r="J27" s="8" t="s">
        <v>29</v>
      </c>
      <c r="K27" s="8" t="str">
        <f>IFERROR(__xludf.DUMMYFUNCTION("GOOGLETRANSLATE(J27)"),"-")</f>
        <v>-</v>
      </c>
      <c r="L27" s="19">
        <v>5180000.0</v>
      </c>
      <c r="M27" s="19" t="s">
        <v>29</v>
      </c>
      <c r="N27" s="20" t="s">
        <v>58</v>
      </c>
      <c r="O27" s="20" t="s">
        <v>58</v>
      </c>
      <c r="P27" s="20"/>
      <c r="Q27" s="22" t="s">
        <v>190</v>
      </c>
      <c r="R27" s="20" t="s">
        <v>25</v>
      </c>
      <c r="S27" s="20" t="s">
        <v>26</v>
      </c>
      <c r="T27" s="20" t="s">
        <v>191</v>
      </c>
      <c r="U27" s="20"/>
    </row>
    <row r="28">
      <c r="A28" s="37" t="s">
        <v>192</v>
      </c>
      <c r="B28" s="14" t="s">
        <v>193</v>
      </c>
      <c r="C28" s="38"/>
      <c r="D28" s="17"/>
      <c r="E28" s="17"/>
      <c r="F28" s="18"/>
      <c r="G28" s="18"/>
      <c r="H28" s="18"/>
      <c r="I28" s="18"/>
      <c r="J28" s="8" t="s">
        <v>29</v>
      </c>
      <c r="K28" s="8" t="str">
        <f>IFERROR(__xludf.DUMMYFUNCTION("GOOGLETRANSLATE(J28)"),"-")</f>
        <v>-</v>
      </c>
      <c r="L28" s="19">
        <v>6000.0</v>
      </c>
      <c r="M28" s="19" t="s">
        <v>29</v>
      </c>
      <c r="N28" s="20" t="s">
        <v>194</v>
      </c>
      <c r="O28" s="20" t="s">
        <v>194</v>
      </c>
      <c r="P28" s="21"/>
      <c r="Q28" s="22" t="s">
        <v>195</v>
      </c>
      <c r="R28" s="20" t="s">
        <v>136</v>
      </c>
      <c r="S28" s="20" t="s">
        <v>26</v>
      </c>
      <c r="T28" s="20" t="s">
        <v>196</v>
      </c>
      <c r="U28" s="20"/>
    </row>
    <row r="29">
      <c r="A29" s="37" t="s">
        <v>197</v>
      </c>
      <c r="B29" s="14" t="s">
        <v>198</v>
      </c>
      <c r="C29" s="39"/>
      <c r="D29" s="17"/>
      <c r="E29" s="17"/>
      <c r="F29" s="18"/>
      <c r="G29" s="18"/>
      <c r="H29" s="18"/>
      <c r="I29" s="18"/>
      <c r="J29" s="36"/>
      <c r="K29" s="8" t="str">
        <f>IFERROR(__xludf.DUMMYFUNCTION("GOOGLETRANSLATE(J29)"),"#VALUE!")</f>
        <v>#VALUE!</v>
      </c>
      <c r="L29" s="19">
        <v>287000.0</v>
      </c>
      <c r="M29" s="19" t="s">
        <v>29</v>
      </c>
      <c r="N29" s="20" t="s">
        <v>199</v>
      </c>
      <c r="O29" s="20" t="s">
        <v>200</v>
      </c>
      <c r="P29" s="21"/>
      <c r="Q29" s="22" t="s">
        <v>201</v>
      </c>
      <c r="R29" s="20" t="s">
        <v>25</v>
      </c>
      <c r="S29" s="20" t="s">
        <v>26</v>
      </c>
      <c r="T29" s="20" t="s">
        <v>202</v>
      </c>
      <c r="U29" s="20"/>
    </row>
    <row r="30">
      <c r="A30" s="37" t="s">
        <v>203</v>
      </c>
      <c r="B30" s="23" t="s">
        <v>29</v>
      </c>
      <c r="C30" s="38"/>
      <c r="D30" s="17"/>
      <c r="E30" s="17"/>
      <c r="F30" s="18"/>
      <c r="G30" s="18"/>
      <c r="H30" s="18"/>
      <c r="I30" s="18"/>
      <c r="J30" s="36"/>
      <c r="K30" s="8"/>
      <c r="L30" s="19" t="s">
        <v>29</v>
      </c>
      <c r="M30" s="19" t="s">
        <v>29</v>
      </c>
      <c r="N30" s="20" t="s">
        <v>204</v>
      </c>
      <c r="O30" s="20" t="s">
        <v>204</v>
      </c>
      <c r="P30" s="21"/>
      <c r="Q30" s="22" t="s">
        <v>205</v>
      </c>
      <c r="R30" s="20" t="s">
        <v>25</v>
      </c>
      <c r="S30" s="20" t="s">
        <v>26</v>
      </c>
      <c r="T30" s="20" t="s">
        <v>206</v>
      </c>
      <c r="U30" s="20"/>
    </row>
    <row r="31">
      <c r="A31" s="37" t="s">
        <v>207</v>
      </c>
      <c r="B31" s="25" t="s">
        <v>208</v>
      </c>
      <c r="C31" s="39"/>
      <c r="D31" s="17"/>
      <c r="E31" s="17"/>
      <c r="F31" s="18"/>
      <c r="G31" s="18"/>
      <c r="H31" s="18"/>
      <c r="I31" s="18"/>
      <c r="J31" s="8"/>
      <c r="K31" s="8" t="str">
        <f>IFERROR(__xludf.DUMMYFUNCTION("GOOGLETRANSLATE(J31)"),"#VALUE!")</f>
        <v>#VALUE!</v>
      </c>
      <c r="L31" s="19" t="s">
        <v>29</v>
      </c>
      <c r="M31" s="19" t="s">
        <v>29</v>
      </c>
      <c r="N31" s="20" t="s">
        <v>199</v>
      </c>
      <c r="O31" s="20" t="s">
        <v>209</v>
      </c>
      <c r="P31" s="20" t="s">
        <v>210</v>
      </c>
      <c r="Q31" s="22" t="s">
        <v>211</v>
      </c>
      <c r="R31" s="20" t="s">
        <v>136</v>
      </c>
      <c r="S31" s="20" t="s">
        <v>26</v>
      </c>
      <c r="T31" s="20"/>
      <c r="U31" s="20"/>
    </row>
    <row r="32">
      <c r="A32" s="37" t="s">
        <v>212</v>
      </c>
      <c r="B32" s="25" t="s">
        <v>213</v>
      </c>
      <c r="C32" s="39"/>
      <c r="D32" s="17"/>
      <c r="E32" s="17"/>
      <c r="F32" s="18"/>
      <c r="G32" s="18"/>
      <c r="H32" s="18"/>
      <c r="I32" s="18"/>
      <c r="J32" s="8" t="s">
        <v>214</v>
      </c>
      <c r="K32" s="8" t="str">
        <f>IFERROR(__xludf.DUMMYFUNCTION("GOOGLETRANSLATE(J32)"),"Tapas serialization contract in progress")</f>
        <v>Tapas serialization contract in progress</v>
      </c>
      <c r="L32" s="19">
        <v>1832000.0</v>
      </c>
      <c r="M32" s="19" t="s">
        <v>29</v>
      </c>
      <c r="N32" s="20" t="s">
        <v>215</v>
      </c>
      <c r="O32" s="20" t="s">
        <v>216</v>
      </c>
      <c r="P32" s="20" t="s">
        <v>217</v>
      </c>
      <c r="Q32" s="22" t="s">
        <v>218</v>
      </c>
      <c r="R32" s="20" t="s">
        <v>136</v>
      </c>
      <c r="S32" s="20" t="s">
        <v>26</v>
      </c>
      <c r="T32" s="20" t="s">
        <v>137</v>
      </c>
      <c r="U32" s="20"/>
    </row>
    <row r="33">
      <c r="A33" s="37" t="s">
        <v>219</v>
      </c>
      <c r="B33" s="14" t="s">
        <v>220</v>
      </c>
      <c r="C33" s="39"/>
      <c r="D33" s="17"/>
      <c r="E33" s="17"/>
      <c r="F33" s="18" t="s">
        <v>221</v>
      </c>
      <c r="G33" s="18"/>
      <c r="H33" s="18"/>
      <c r="I33" s="18"/>
      <c r="J33" s="8" t="s">
        <v>222</v>
      </c>
      <c r="K33" s="8" t="str">
        <f>IFERROR(__xludf.DUMMYFUNCTION("GOOGLETRANSLATE(J33)"),"TVN drama aired. Volumes 1-6 published in book form.")</f>
        <v>TVN drama aired. Volumes 1-6 published in book form.</v>
      </c>
      <c r="L33" s="19" t="s">
        <v>29</v>
      </c>
      <c r="M33" s="19" t="s">
        <v>29</v>
      </c>
      <c r="N33" s="20" t="s">
        <v>223</v>
      </c>
      <c r="O33" s="20" t="s">
        <v>223</v>
      </c>
      <c r="P33" s="21"/>
      <c r="Q33" s="22" t="s">
        <v>224</v>
      </c>
      <c r="R33" s="20" t="s">
        <v>136</v>
      </c>
      <c r="S33" s="20" t="s">
        <v>225</v>
      </c>
      <c r="T33" s="20" t="s">
        <v>226</v>
      </c>
      <c r="U33" s="20"/>
    </row>
    <row r="34">
      <c r="A34" s="37" t="s">
        <v>227</v>
      </c>
      <c r="B34" s="14" t="s">
        <v>228</v>
      </c>
      <c r="C34" s="34"/>
      <c r="D34" s="17"/>
      <c r="E34" s="17"/>
      <c r="F34" s="18" t="s">
        <v>229</v>
      </c>
      <c r="G34" s="18"/>
      <c r="H34" s="18"/>
      <c r="I34" s="18"/>
      <c r="J34" s="8" t="s">
        <v>230</v>
      </c>
      <c r="K34" s="8" t="str">
        <f>IFERROR(__xludf.DUMMYFUNCTION("GOOGLETRANSLATE(J34)"),"Kakao TV drama airing")</f>
        <v>Kakao TV drama airing</v>
      </c>
      <c r="L34" s="19">
        <v>9824000.0</v>
      </c>
      <c r="M34" s="19" t="s">
        <v>29</v>
      </c>
      <c r="N34" s="20" t="s">
        <v>231</v>
      </c>
      <c r="O34" s="20" t="s">
        <v>231</v>
      </c>
      <c r="P34" s="21"/>
      <c r="Q34" s="22" t="s">
        <v>232</v>
      </c>
      <c r="R34" s="20" t="s">
        <v>25</v>
      </c>
      <c r="S34" s="20" t="s">
        <v>26</v>
      </c>
      <c r="T34" s="20" t="s">
        <v>27</v>
      </c>
      <c r="U34" s="20"/>
    </row>
    <row r="35">
      <c r="A35" s="37" t="s">
        <v>233</v>
      </c>
      <c r="B35" s="14" t="s">
        <v>234</v>
      </c>
      <c r="C35" s="39"/>
      <c r="D35" s="17"/>
      <c r="E35" s="17"/>
      <c r="F35" s="18" t="s">
        <v>235</v>
      </c>
      <c r="G35" s="18"/>
      <c r="H35" s="18"/>
      <c r="I35" s="18"/>
      <c r="J35" s="8" t="s">
        <v>236</v>
      </c>
      <c r="K35" s="8" t="str">
        <f>IFERROR(__xludf.DUMMYFUNCTION("GOOGLETRANSLATE(J35)"),"Film production completed")</f>
        <v>Film production completed</v>
      </c>
      <c r="L35" s="19">
        <v>1.6092E7</v>
      </c>
      <c r="M35" s="19">
        <v>9600.0</v>
      </c>
      <c r="N35" s="20" t="s">
        <v>231</v>
      </c>
      <c r="O35" s="20" t="s">
        <v>231</v>
      </c>
      <c r="P35" s="21"/>
      <c r="Q35" s="22" t="s">
        <v>237</v>
      </c>
      <c r="R35" s="20" t="s">
        <v>25</v>
      </c>
      <c r="S35" s="20" t="s">
        <v>26</v>
      </c>
      <c r="T35" s="20" t="s">
        <v>27</v>
      </c>
      <c r="U35" s="20"/>
    </row>
    <row r="36">
      <c r="A36" s="40" t="s">
        <v>238</v>
      </c>
      <c r="B36" s="41" t="s">
        <v>239</v>
      </c>
      <c r="C36" s="34"/>
      <c r="D36" s="42"/>
      <c r="E36" s="42"/>
      <c r="F36" s="43" t="s">
        <v>235</v>
      </c>
      <c r="G36" s="43"/>
      <c r="H36" s="43"/>
      <c r="I36" s="43"/>
      <c r="J36" s="44" t="s">
        <v>240</v>
      </c>
      <c r="K36" s="44" t="str">
        <f>IFERROR(__xludf.DUMMYFUNCTION("GOOGLETRANSLATE(J36)"),"(Kim So-hye X Na In-woo) An unexpected connection created by a dead boyfriend
https://tv.kakao.com/v/425575092
Kim So-hye X Na In-woo, 'Her Bucket List' trailer released... Year-end romance sniper
https://tenasia.hankyung.com/tv-drama/article/202112159332"&amp;"4
Video adaptation copyright X")</f>
        <v>(Kim So-hye X Na In-woo) An unexpected connection created by a dead boyfriend
https://tv.kakao.com/v/425575092
Kim So-hye X Na In-woo, 'Her Bucket List' trailer released... Year-end romance sniper
https://tenasia.hankyung.com/tv-drama/article/2021121593324
Video adaptation copyright X</v>
      </c>
      <c r="L36" s="45" t="s">
        <v>29</v>
      </c>
      <c r="M36" s="45">
        <v>72245.0</v>
      </c>
      <c r="N36" s="46" t="s">
        <v>241</v>
      </c>
      <c r="O36" s="46" t="s">
        <v>242</v>
      </c>
      <c r="P36" s="47"/>
      <c r="Q36" s="48" t="s">
        <v>243</v>
      </c>
      <c r="R36" s="46" t="s">
        <v>25</v>
      </c>
      <c r="S36" s="46" t="s">
        <v>26</v>
      </c>
      <c r="T36" s="46" t="s">
        <v>27</v>
      </c>
      <c r="U36" s="46"/>
    </row>
    <row r="37">
      <c r="A37" s="40" t="s">
        <v>244</v>
      </c>
      <c r="B37" s="49" t="s">
        <v>245</v>
      </c>
      <c r="C37" s="50"/>
      <c r="D37" s="42"/>
      <c r="E37" s="42"/>
      <c r="F37" s="43" t="s">
        <v>246</v>
      </c>
      <c r="G37" s="43"/>
      <c r="H37" s="43"/>
      <c r="I37" s="43"/>
      <c r="J37" s="44" t="s">
        <v>247</v>
      </c>
      <c r="K37" s="44" t="str">
        <f>IFERROR(__xludf.DUMMYFUNCTION("GOOGLETRANSLATE(J37)"),"Video copyright belongs to Kakao. Serialized in English, Japanese, Thai, and Taiwanese.")</f>
        <v>Video copyright belongs to Kakao. Serialized in English, Japanese, Thai, and Taiwanese.</v>
      </c>
      <c r="L37" s="45">
        <v>1079000.0</v>
      </c>
      <c r="M37" s="45" t="s">
        <v>29</v>
      </c>
      <c r="N37" s="46" t="s">
        <v>231</v>
      </c>
      <c r="O37" s="46" t="s">
        <v>231</v>
      </c>
      <c r="P37" s="47"/>
      <c r="Q37" s="48" t="s">
        <v>248</v>
      </c>
      <c r="R37" s="46" t="s">
        <v>136</v>
      </c>
      <c r="S37" s="46" t="s">
        <v>26</v>
      </c>
      <c r="T37" s="46" t="s">
        <v>249</v>
      </c>
      <c r="U37" s="46"/>
    </row>
    <row r="38">
      <c r="A38" s="37" t="s">
        <v>250</v>
      </c>
      <c r="B38" s="14" t="s">
        <v>251</v>
      </c>
      <c r="C38" s="34"/>
      <c r="D38" s="17"/>
      <c r="E38" s="17"/>
      <c r="F38" s="18" t="s">
        <v>235</v>
      </c>
      <c r="G38" s="18"/>
      <c r="H38" s="18"/>
      <c r="I38" s="18"/>
      <c r="J38" s="8" t="s">
        <v>252</v>
      </c>
      <c r="K38" s="8" t="str">
        <f>IFERROR(__xludf.DUMMYFUNCTION("GOOGLETRANSLATE(J38)"),"- Film adaptation rights contract completed
- Publishing contract completed
- Ranked 2nd overall in the Naver Webtoon Mix project
- Ranked 7th on Naver daily charts after just 5 episodes
- Serialized in Japan, Taiwan, North America, Spain, Indonesia, Tha"&amp;"iland, and France")</f>
        <v>- Film adaptation rights contract completed
- Publishing contract completed
- Ranked 2nd overall in the Naver Webtoon Mix project
- Ranked 7th on Naver daily charts after just 5 episodes
- Serialized in Japan, Taiwan, North America, Spain, Indonesia, Thailand, and France</v>
      </c>
      <c r="L38" s="19">
        <v>0.0</v>
      </c>
      <c r="M38" s="19">
        <v>353151.0</v>
      </c>
      <c r="N38" s="20" t="s">
        <v>253</v>
      </c>
      <c r="O38" s="20" t="s">
        <v>254</v>
      </c>
      <c r="P38" s="21"/>
      <c r="Q38" s="22" t="s">
        <v>255</v>
      </c>
      <c r="R38" s="20" t="s">
        <v>25</v>
      </c>
      <c r="S38" s="20" t="s">
        <v>26</v>
      </c>
      <c r="T38" s="20" t="s">
        <v>35</v>
      </c>
      <c r="U38" s="20"/>
    </row>
    <row r="39">
      <c r="A39" s="37" t="s">
        <v>256</v>
      </c>
      <c r="B39" s="14" t="s">
        <v>257</v>
      </c>
      <c r="C39" s="34"/>
      <c r="D39" s="17"/>
      <c r="E39" s="17"/>
      <c r="F39" s="18" t="s">
        <v>258</v>
      </c>
      <c r="G39" s="18"/>
      <c r="H39" s="18"/>
      <c r="I39" s="18"/>
      <c r="J39" s="8" t="s">
        <v>259</v>
      </c>
      <c r="K39" s="8" t="str">
        <f>IFERROR(__xludf.DUMMYFUNCTION("GOOGLETRANSLATE(J39)"),"- 1.5 million subscribers on Kakao Page, reaching the Million Page mark
- Cumulative views of approximately 100 million works, with a single peak of 2.25 million views
- As of 2017, Kakao Page achieved approximately 500 million in sales
- Explosive popula"&amp;"rity and paid revenue in Korea, Japan, China, Taiwan, and the English-speaking world
- Drama/film contracts completed
&lt;Love &amp; Wish&gt; Kakao TV")</f>
        <v>- 1.5 million subscribers on Kakao Page, reaching the Million Page mark
- Cumulative views of approximately 100 million works, with a single peak of 2.25 million views
- As of 2017, Kakao Page achieved approximately 500 million in sales
- Explosive popularity and paid revenue in Korea, Japan, China, Taiwan, and the English-speaking world
- Drama/film contracts completed
&lt;Love &amp; Wish&gt; Kakao TV</v>
      </c>
      <c r="L39" s="19">
        <v>5.7011E7</v>
      </c>
      <c r="M39" s="19" t="s">
        <v>29</v>
      </c>
      <c r="N39" s="20" t="s">
        <v>99</v>
      </c>
      <c r="O39" s="20" t="s">
        <v>99</v>
      </c>
      <c r="P39" s="21"/>
      <c r="Q39" s="22" t="s">
        <v>260</v>
      </c>
      <c r="R39" s="20" t="s">
        <v>25</v>
      </c>
      <c r="S39" s="20" t="s">
        <v>26</v>
      </c>
      <c r="T39" s="20" t="s">
        <v>27</v>
      </c>
      <c r="U39" s="20"/>
    </row>
    <row r="40">
      <c r="A40" s="37" t="s">
        <v>261</v>
      </c>
      <c r="B40" s="14" t="s">
        <v>262</v>
      </c>
      <c r="C40" s="39"/>
      <c r="D40" s="17"/>
      <c r="E40" s="17"/>
      <c r="F40" s="18" t="s">
        <v>235</v>
      </c>
      <c r="G40" s="18"/>
      <c r="H40" s="18"/>
      <c r="I40" s="18"/>
      <c r="J40" s="8" t="s">
        <v>263</v>
      </c>
      <c r="K40" s="8" t="str">
        <f>IFERROR(__xludf.DUMMYFUNCTION("GOOGLETRANSLATE(J40)"),"Webtoon with Sound 1 (Narrated Version) https://digital.kyobobook.co.kr/digital/ebook/ebookDetail.ink?barcode=450D000052593")</f>
        <v>Webtoon with Sound 1 (Narrated Version) https://digital.kyobobook.co.kr/digital/ebook/ebookDetail.ink?barcode=450D000052593</v>
      </c>
      <c r="L40" s="19">
        <v>0.0</v>
      </c>
      <c r="M40" s="19">
        <v>8.0</v>
      </c>
      <c r="N40" s="20" t="s">
        <v>264</v>
      </c>
      <c r="O40" s="20" t="s">
        <v>264</v>
      </c>
      <c r="P40" s="21"/>
      <c r="Q40" s="22" t="s">
        <v>265</v>
      </c>
      <c r="R40" s="20" t="s">
        <v>136</v>
      </c>
      <c r="S40" s="20" t="s">
        <v>225</v>
      </c>
      <c r="T40" s="20" t="s">
        <v>266</v>
      </c>
      <c r="U40" s="20"/>
    </row>
    <row r="41">
      <c r="A41" s="37" t="s">
        <v>267</v>
      </c>
      <c r="B41" s="14" t="s">
        <v>268</v>
      </c>
      <c r="C41" s="39"/>
      <c r="D41" s="17"/>
      <c r="E41" s="17"/>
      <c r="F41" s="18" t="s">
        <v>235</v>
      </c>
      <c r="G41" s="18"/>
      <c r="H41" s="18"/>
      <c r="I41" s="18"/>
      <c r="J41" s="8" t="s">
        <v>269</v>
      </c>
      <c r="K41" s="8" t="str">
        <f>IFERROR(__xludf.DUMMYFUNCTION("GOOGLETRANSLATE(J41)"),"- Kakao Page serialized work - 2018 Excellent Creator Support Project winning work - 
Video adaptation contract completed")</f>
        <v>- Kakao Page serialized work - 2018 Excellent Creator Support Project winning work - 
Video adaptation contract completed</v>
      </c>
      <c r="L41" s="19">
        <v>2.1226E7</v>
      </c>
      <c r="M41" s="19">
        <v>10000.0</v>
      </c>
      <c r="N41" s="20" t="s">
        <v>270</v>
      </c>
      <c r="O41" s="20" t="s">
        <v>271</v>
      </c>
      <c r="P41" s="21"/>
      <c r="Q41" s="22" t="s">
        <v>272</v>
      </c>
      <c r="R41" s="20" t="s">
        <v>25</v>
      </c>
      <c r="S41" s="20" t="s">
        <v>26</v>
      </c>
      <c r="T41" s="20" t="s">
        <v>273</v>
      </c>
      <c r="U41" s="20"/>
    </row>
    <row r="42">
      <c r="A42" s="37" t="s">
        <v>274</v>
      </c>
      <c r="B42" s="14" t="s">
        <v>275</v>
      </c>
      <c r="C42" s="39"/>
      <c r="D42" s="17"/>
      <c r="E42" s="17"/>
      <c r="F42" s="18" t="s">
        <v>276</v>
      </c>
      <c r="G42" s="18"/>
      <c r="H42" s="18"/>
      <c r="I42" s="18"/>
      <c r="J42" s="8" t="s">
        <v>277</v>
      </c>
      <c r="K42" s="8" t="str">
        <f>IFERROR(__xludf.DUMMYFUNCTION("GOOGLETRANSLATE(J42)"),"Drama Kakao TV launch")</f>
        <v>Drama Kakao TV launch</v>
      </c>
      <c r="L42" s="19">
        <v>4.578E7</v>
      </c>
      <c r="M42" s="19">
        <v>10000.0</v>
      </c>
      <c r="N42" s="20" t="s">
        <v>278</v>
      </c>
      <c r="O42" s="20" t="s">
        <v>278</v>
      </c>
      <c r="P42" s="21"/>
      <c r="Q42" s="22" t="s">
        <v>279</v>
      </c>
      <c r="R42" s="20" t="s">
        <v>25</v>
      </c>
      <c r="S42" s="20" t="s">
        <v>26</v>
      </c>
      <c r="T42" s="20" t="s">
        <v>280</v>
      </c>
      <c r="U42" s="20"/>
    </row>
    <row r="43">
      <c r="A43" s="37" t="s">
        <v>281</v>
      </c>
      <c r="B43" s="14" t="s">
        <v>282</v>
      </c>
      <c r="C43" s="39"/>
      <c r="D43" s="17"/>
      <c r="E43" s="17"/>
      <c r="F43" s="18" t="s">
        <v>283</v>
      </c>
      <c r="G43" s="18"/>
      <c r="H43" s="18"/>
      <c r="I43" s="18"/>
      <c r="J43" s="8" t="s">
        <v>284</v>
      </c>
      <c r="K43" s="8" t="str">
        <f>IFERROR(__xludf.DUMMYFUNCTION("GOOGLETRANSLATE(J43)"),"&lt;Shadow Beauty&gt;'s next project
Short-form drama contract completed")</f>
        <v>&lt;Shadow Beauty&gt;'s next project
Short-form drama contract completed</v>
      </c>
      <c r="L43" s="19">
        <v>5114000.0</v>
      </c>
      <c r="M43" s="19" t="s">
        <v>29</v>
      </c>
      <c r="N43" s="20" t="s">
        <v>278</v>
      </c>
      <c r="O43" s="20" t="s">
        <v>278</v>
      </c>
      <c r="P43" s="21"/>
      <c r="Q43" s="22" t="s">
        <v>285</v>
      </c>
      <c r="R43" s="20" t="s">
        <v>136</v>
      </c>
      <c r="S43" s="20" t="s">
        <v>26</v>
      </c>
      <c r="T43" s="20" t="s">
        <v>280</v>
      </c>
      <c r="U43" s="20"/>
    </row>
    <row r="44">
      <c r="A44" s="37" t="s">
        <v>286</v>
      </c>
      <c r="B44" s="14" t="s">
        <v>287</v>
      </c>
      <c r="C44" s="39"/>
      <c r="D44" s="17"/>
      <c r="E44" s="17"/>
      <c r="F44" s="31" t="s">
        <v>288</v>
      </c>
      <c r="G44" s="28"/>
      <c r="H44" s="28"/>
      <c r="I44" s="28"/>
      <c r="J44" s="8" t="s">
        <v>289</v>
      </c>
      <c r="K44" s="8" t="str">
        <f>IFERROR(__xludf.DUMMYFUNCTION("GOOGLETRANSLATE(J44)"),"Filming contract completed (production permit expires on December 31, 2025)")</f>
        <v>Filming contract completed (production permit expires on December 31, 2025)</v>
      </c>
      <c r="L44" s="19">
        <v>0.0</v>
      </c>
      <c r="M44" s="19">
        <v>317360.0</v>
      </c>
      <c r="N44" s="20" t="s">
        <v>290</v>
      </c>
      <c r="O44" s="20" t="s">
        <v>291</v>
      </c>
      <c r="P44" s="21"/>
      <c r="Q44" s="22" t="s">
        <v>292</v>
      </c>
      <c r="R44" s="20" t="s">
        <v>136</v>
      </c>
      <c r="S44" s="20" t="s">
        <v>225</v>
      </c>
      <c r="T44" s="20" t="s">
        <v>75</v>
      </c>
      <c r="U44" s="20"/>
    </row>
    <row r="45">
      <c r="A45" s="37" t="s">
        <v>293</v>
      </c>
      <c r="B45" s="14" t="s">
        <v>294</v>
      </c>
      <c r="C45" s="39"/>
      <c r="D45" s="17"/>
      <c r="E45" s="17"/>
      <c r="F45" s="18" t="s">
        <v>295</v>
      </c>
      <c r="G45" s="18"/>
      <c r="H45" s="18"/>
      <c r="I45" s="18"/>
      <c r="J45" s="8" t="s">
        <v>296</v>
      </c>
      <c r="K45" s="8" t="str">
        <f>IFERROR(__xludf.DUMMYFUNCTION("GOOGLETRANSLATE(J45)"),"- Maintained a top 10 ranking on Naver Webtoon every day of the week!
- Expanded globally to Indonesia, Taiwan, and China
Movie production &lt;Dr. Cheon's Exorcism Lab: The Secret of the Snow Scene&gt;")</f>
        <v>- Maintained a top 10 ranking on Naver Webtoon every day of the week!
- Expanded globally to Indonesia, Taiwan, and China
Movie production &lt;Dr. Cheon's Exorcism Lab: The Secret of the Snow Scene&gt;</v>
      </c>
      <c r="L45" s="19" t="s">
        <v>29</v>
      </c>
      <c r="M45" s="19">
        <v>142778.0</v>
      </c>
      <c r="N45" s="20" t="s">
        <v>153</v>
      </c>
      <c r="O45" s="20" t="s">
        <v>141</v>
      </c>
      <c r="P45" s="21"/>
      <c r="Q45" s="22" t="s">
        <v>297</v>
      </c>
      <c r="R45" s="20" t="s">
        <v>25</v>
      </c>
      <c r="S45" s="20" t="s">
        <v>51</v>
      </c>
      <c r="T45" s="20" t="s">
        <v>155</v>
      </c>
      <c r="U45" s="20"/>
    </row>
    <row r="46" ht="31.5" customHeight="1">
      <c r="A46" s="51" t="s">
        <v>298</v>
      </c>
      <c r="B46" s="52"/>
      <c r="C46" s="53"/>
      <c r="D46" s="54"/>
      <c r="E46" s="54"/>
      <c r="F46" s="55"/>
      <c r="G46" s="55"/>
      <c r="H46" s="55"/>
      <c r="I46" s="55"/>
      <c r="J46" s="55"/>
      <c r="K46" s="55" t="str">
        <f>IFERROR(__xludf.DUMMYFUNCTION("GOOGLETRANSLATE(J46)"),"#VALUE!")</f>
        <v>#VALUE!</v>
      </c>
      <c r="L46" s="56"/>
      <c r="M46" s="56"/>
      <c r="N46" s="54"/>
      <c r="O46" s="54"/>
      <c r="P46" s="57"/>
      <c r="Q46" s="58"/>
      <c r="R46" s="54"/>
      <c r="S46" s="54"/>
      <c r="T46" s="54"/>
      <c r="U46" s="54"/>
    </row>
    <row r="47">
      <c r="A47" s="59" t="s">
        <v>299</v>
      </c>
      <c r="B47" s="14" t="s">
        <v>300</v>
      </c>
      <c r="C47" s="60" t="s">
        <v>301</v>
      </c>
      <c r="D47" s="17" t="s">
        <v>302</v>
      </c>
      <c r="E47" s="17"/>
      <c r="F47" s="18"/>
      <c r="G47" s="18"/>
      <c r="H47" s="18"/>
      <c r="I47" s="18"/>
      <c r="J47" s="8" t="s">
        <v>303</v>
      </c>
      <c r="K47" s="8" t="str">
        <f>IFERROR(__xludf.DUMMYFUNCTION("GOOGLETRANSLATE(J47)"),"- Based on a romance web novel by Seo Jeong-yoon 
- Yeondam X Manhwa Family")</f>
        <v>- Based on a romance web novel by Seo Jeong-yoon 
- Yeondam X Manhwa Family</v>
      </c>
      <c r="L47" s="19">
        <v>1.0325E7</v>
      </c>
      <c r="M47" s="19">
        <v>9900.0</v>
      </c>
      <c r="N47" s="20" t="s">
        <v>304</v>
      </c>
      <c r="O47" s="20" t="s">
        <v>305</v>
      </c>
      <c r="P47" s="21"/>
      <c r="Q47" s="22" t="s">
        <v>306</v>
      </c>
      <c r="R47" s="20" t="s">
        <v>25</v>
      </c>
      <c r="S47" s="20" t="s">
        <v>26</v>
      </c>
      <c r="T47" s="20" t="s">
        <v>307</v>
      </c>
      <c r="U47" s="20"/>
    </row>
    <row r="48">
      <c r="A48" s="59" t="s">
        <v>308</v>
      </c>
      <c r="B48" s="14" t="s">
        <v>309</v>
      </c>
      <c r="C48" s="61"/>
      <c r="D48" s="17"/>
      <c r="E48" s="17"/>
      <c r="F48" s="18"/>
      <c r="G48" s="18"/>
      <c r="H48" s="18"/>
      <c r="I48" s="18"/>
      <c r="J48" s="8" t="s">
        <v>310</v>
      </c>
      <c r="K48" s="8" t="str">
        <f>IFERROR(__xludf.DUMMYFUNCTION("GOOGLETRANSLATE(J48)"),"A romance web novel based on the original work of author Naya")</f>
        <v>A romance web novel based on the original work of author Naya</v>
      </c>
      <c r="L48" s="19" t="s">
        <v>29</v>
      </c>
      <c r="M48" s="19">
        <v>2803.0</v>
      </c>
      <c r="N48" s="20" t="s">
        <v>311</v>
      </c>
      <c r="O48" s="20" t="s">
        <v>312</v>
      </c>
      <c r="P48" s="21"/>
      <c r="Q48" s="22" t="s">
        <v>313</v>
      </c>
      <c r="R48" s="20" t="s">
        <v>25</v>
      </c>
      <c r="S48" s="20" t="s">
        <v>26</v>
      </c>
      <c r="T48" s="20" t="s">
        <v>314</v>
      </c>
      <c r="U48" s="20"/>
    </row>
    <row r="49">
      <c r="A49" s="59" t="s">
        <v>315</v>
      </c>
      <c r="B49" s="14" t="s">
        <v>316</v>
      </c>
      <c r="C49" s="38"/>
      <c r="D49" s="17"/>
      <c r="E49" s="17"/>
      <c r="F49" s="18"/>
      <c r="G49" s="18"/>
      <c r="H49" s="18"/>
      <c r="I49" s="18"/>
      <c r="J49" s="36"/>
      <c r="K49" s="8" t="str">
        <f>IFERROR(__xludf.DUMMYFUNCTION("GOOGLETRANSLATE(J49)"),"#VALUE!")</f>
        <v>#VALUE!</v>
      </c>
      <c r="L49" s="19" t="s">
        <v>29</v>
      </c>
      <c r="M49" s="19" t="s">
        <v>29</v>
      </c>
      <c r="N49" s="20" t="s">
        <v>317</v>
      </c>
      <c r="O49" s="20" t="s">
        <v>317</v>
      </c>
      <c r="P49" s="21"/>
      <c r="Q49" s="22" t="s">
        <v>318</v>
      </c>
      <c r="R49" s="20" t="s">
        <v>25</v>
      </c>
      <c r="S49" s="21"/>
      <c r="T49" s="20" t="s">
        <v>319</v>
      </c>
      <c r="U49" s="20"/>
    </row>
    <row r="50">
      <c r="A50" s="62" t="s">
        <v>320</v>
      </c>
      <c r="B50" s="14" t="s">
        <v>321</v>
      </c>
      <c r="C50" s="38"/>
      <c r="D50" s="17"/>
      <c r="E50" s="17"/>
      <c r="F50" s="18"/>
      <c r="G50" s="18"/>
      <c r="H50" s="18"/>
      <c r="I50" s="18"/>
      <c r="J50" s="36"/>
      <c r="K50" s="8"/>
      <c r="L50" s="19"/>
      <c r="M50" s="19"/>
      <c r="N50" s="20"/>
      <c r="O50" s="20"/>
      <c r="P50" s="21"/>
      <c r="Q50" s="22"/>
      <c r="R50" s="20"/>
      <c r="S50" s="21"/>
      <c r="T50" s="20"/>
      <c r="U50" s="20"/>
    </row>
    <row r="51">
      <c r="A51" s="63"/>
      <c r="B51" s="52"/>
      <c r="C51" s="64"/>
      <c r="D51" s="54"/>
      <c r="E51" s="54"/>
      <c r="F51" s="55"/>
      <c r="G51" s="55"/>
      <c r="H51" s="55"/>
      <c r="I51" s="55"/>
      <c r="J51" s="65"/>
      <c r="K51" s="55"/>
      <c r="L51" s="56"/>
      <c r="M51" s="56"/>
      <c r="N51" s="54"/>
      <c r="O51" s="54"/>
      <c r="P51" s="57"/>
      <c r="Q51" s="58"/>
      <c r="R51" s="54"/>
      <c r="S51" s="57"/>
      <c r="T51" s="54"/>
      <c r="U51" s="54"/>
    </row>
    <row r="52">
      <c r="A52" s="37" t="s">
        <v>322</v>
      </c>
      <c r="B52" s="14" t="s">
        <v>323</v>
      </c>
      <c r="C52" s="38"/>
      <c r="D52" s="17"/>
      <c r="E52" s="17"/>
      <c r="F52" s="18"/>
      <c r="G52" s="18"/>
      <c r="H52" s="18"/>
      <c r="I52" s="18"/>
      <c r="J52" s="8" t="s">
        <v>324</v>
      </c>
      <c r="K52" s="8" t="str">
        <f>IFERROR(__xludf.DUMMYFUNCTION("GOOGLETRANSLATE(J52)"),"Signing an emoticon contract")</f>
        <v>Signing an emoticon contract</v>
      </c>
      <c r="L52" s="19">
        <v>9729000.0</v>
      </c>
      <c r="M52" s="19">
        <v>9900.0</v>
      </c>
      <c r="N52" s="20" t="s">
        <v>325</v>
      </c>
      <c r="O52" s="20" t="s">
        <v>325</v>
      </c>
      <c r="P52" s="21"/>
      <c r="Q52" s="22" t="s">
        <v>326</v>
      </c>
      <c r="R52" s="20" t="s">
        <v>25</v>
      </c>
      <c r="S52" s="20" t="s">
        <v>26</v>
      </c>
      <c r="T52" s="20" t="s">
        <v>266</v>
      </c>
      <c r="U52" s="20"/>
    </row>
    <row r="53">
      <c r="A53" s="37" t="s">
        <v>327</v>
      </c>
      <c r="B53" s="14" t="s">
        <v>328</v>
      </c>
      <c r="C53" s="39"/>
      <c r="D53" s="17"/>
      <c r="E53" s="17"/>
      <c r="F53" s="18"/>
      <c r="G53" s="18"/>
      <c r="H53" s="18"/>
      <c r="I53" s="18"/>
      <c r="J53" s="8" t="s">
        <v>126</v>
      </c>
      <c r="K53" s="8" t="str">
        <f>IFERROR(__xludf.DUMMYFUNCTION("GOOGLETRANSLATE(J53)"),"Japanese serialization")</f>
        <v>Japanese serialization</v>
      </c>
      <c r="L53" s="19">
        <v>286000.0</v>
      </c>
      <c r="M53" s="19">
        <v>99.0</v>
      </c>
      <c r="N53" s="20" t="s">
        <v>329</v>
      </c>
      <c r="O53" s="20" t="s">
        <v>330</v>
      </c>
      <c r="P53" s="21"/>
      <c r="Q53" s="22" t="s">
        <v>331</v>
      </c>
      <c r="R53" s="20" t="s">
        <v>25</v>
      </c>
      <c r="S53" s="20" t="s">
        <v>26</v>
      </c>
      <c r="T53" s="20" t="s">
        <v>332</v>
      </c>
      <c r="U53" s="20"/>
    </row>
    <row r="54">
      <c r="A54" s="37" t="s">
        <v>333</v>
      </c>
      <c r="B54" s="14" t="s">
        <v>334</v>
      </c>
      <c r="C54" s="39"/>
      <c r="D54" s="17"/>
      <c r="E54" s="17"/>
      <c r="F54" s="18"/>
      <c r="G54" s="18"/>
      <c r="H54" s="18"/>
      <c r="I54" s="18"/>
      <c r="J54" s="8" t="s">
        <v>335</v>
      </c>
      <c r="K54" s="8" t="str">
        <f>IFERROR(__xludf.DUMMYFUNCTION("GOOGLETRANSLATE(J54)"),"VR content contract
Japanese serialization")</f>
        <v>VR content contract
Japanese serialization</v>
      </c>
      <c r="L54" s="19">
        <v>5100.0</v>
      </c>
      <c r="M54" s="19">
        <v>99.0</v>
      </c>
      <c r="N54" s="20" t="s">
        <v>336</v>
      </c>
      <c r="O54" s="20" t="s">
        <v>336</v>
      </c>
      <c r="P54" s="21"/>
      <c r="Q54" s="22" t="s">
        <v>337</v>
      </c>
      <c r="R54" s="20" t="s">
        <v>25</v>
      </c>
      <c r="S54" s="20" t="s">
        <v>26</v>
      </c>
      <c r="T54" s="20" t="s">
        <v>338</v>
      </c>
      <c r="U54" s="20"/>
    </row>
    <row r="55">
      <c r="A55" s="37" t="s">
        <v>339</v>
      </c>
      <c r="B55" s="14" t="s">
        <v>340</v>
      </c>
      <c r="C55" s="39"/>
      <c r="D55" s="17"/>
      <c r="E55" s="17"/>
      <c r="F55" s="18"/>
      <c r="G55" s="18"/>
      <c r="H55" s="18"/>
      <c r="I55" s="18"/>
      <c r="J55" s="8" t="s">
        <v>341</v>
      </c>
      <c r="K55" s="8" t="str">
        <f>IFERROR(__xludf.DUMMYFUNCTION("GOOGLETRANSLATE(J55)"),"Serialized in North America and Japan")</f>
        <v>Serialized in North America and Japan</v>
      </c>
      <c r="L55" s="19">
        <v>200000.0</v>
      </c>
      <c r="M55" s="19">
        <v>10000.0</v>
      </c>
      <c r="N55" s="20" t="s">
        <v>342</v>
      </c>
      <c r="O55" s="20" t="s">
        <v>342</v>
      </c>
      <c r="P55" s="21"/>
      <c r="Q55" s="22" t="s">
        <v>343</v>
      </c>
      <c r="R55" s="20" t="s">
        <v>25</v>
      </c>
      <c r="S55" s="20" t="s">
        <v>26</v>
      </c>
      <c r="T55" s="20" t="s">
        <v>344</v>
      </c>
      <c r="U55" s="20"/>
    </row>
    <row r="56">
      <c r="A56" s="37" t="s">
        <v>345</v>
      </c>
      <c r="B56" s="23" t="s">
        <v>29</v>
      </c>
      <c r="C56" s="39"/>
      <c r="D56" s="17"/>
      <c r="E56" s="17"/>
      <c r="F56" s="18"/>
      <c r="G56" s="18"/>
      <c r="H56" s="18"/>
      <c r="I56" s="18"/>
      <c r="J56" s="8" t="s">
        <v>29</v>
      </c>
      <c r="K56" s="8" t="str">
        <f>IFERROR(__xludf.DUMMYFUNCTION("GOOGLETRANSLATE(J56)"),"-")</f>
        <v>-</v>
      </c>
      <c r="L56" s="19" t="s">
        <v>29</v>
      </c>
      <c r="M56" s="19" t="s">
        <v>29</v>
      </c>
      <c r="N56" s="20" t="s">
        <v>346</v>
      </c>
      <c r="O56" s="20" t="s">
        <v>346</v>
      </c>
      <c r="P56" s="21"/>
      <c r="Q56" s="22" t="s">
        <v>347</v>
      </c>
      <c r="R56" s="20" t="s">
        <v>25</v>
      </c>
      <c r="S56" s="20" t="s">
        <v>348</v>
      </c>
      <c r="T56" s="20" t="s">
        <v>349</v>
      </c>
      <c r="U56" s="20"/>
    </row>
    <row r="57">
      <c r="A57" s="37" t="s">
        <v>350</v>
      </c>
      <c r="B57" s="14" t="s">
        <v>351</v>
      </c>
      <c r="C57" s="38"/>
      <c r="D57" s="17"/>
      <c r="E57" s="17"/>
      <c r="F57" s="18"/>
      <c r="G57" s="18"/>
      <c r="H57" s="18"/>
      <c r="I57" s="18"/>
      <c r="J57" s="36"/>
      <c r="K57" s="8" t="str">
        <f>IFERROR(__xludf.DUMMYFUNCTION("GOOGLETRANSLATE(J57)"),"#VALUE!")</f>
        <v>#VALUE!</v>
      </c>
      <c r="L57" s="19">
        <v>1.9231E7</v>
      </c>
      <c r="M57" s="19">
        <v>9900.0</v>
      </c>
      <c r="N57" s="20" t="s">
        <v>352</v>
      </c>
      <c r="O57" s="20" t="s">
        <v>353</v>
      </c>
      <c r="P57" s="21"/>
      <c r="Q57" s="22" t="s">
        <v>354</v>
      </c>
      <c r="R57" s="20" t="s">
        <v>136</v>
      </c>
      <c r="S57" s="20" t="s">
        <v>26</v>
      </c>
      <c r="T57" s="20" t="s">
        <v>355</v>
      </c>
      <c r="U57" s="20"/>
    </row>
    <row r="58">
      <c r="A58" s="37" t="s">
        <v>356</v>
      </c>
      <c r="B58" s="23" t="s">
        <v>29</v>
      </c>
      <c r="C58" s="39"/>
      <c r="D58" s="17"/>
      <c r="E58" s="17"/>
      <c r="F58" s="18"/>
      <c r="G58" s="18"/>
      <c r="H58" s="18"/>
      <c r="I58" s="18"/>
      <c r="J58" s="8" t="s">
        <v>357</v>
      </c>
      <c r="K58" s="8" t="str">
        <f>IFERROR(__xludf.DUMMYFUNCTION("GOOGLETRANSLATE(J58)"),"VR content contract")</f>
        <v>VR content contract</v>
      </c>
      <c r="L58" s="19" t="s">
        <v>29</v>
      </c>
      <c r="M58" s="19" t="s">
        <v>29</v>
      </c>
      <c r="N58" s="20" t="s">
        <v>358</v>
      </c>
      <c r="O58" s="20" t="s">
        <v>359</v>
      </c>
      <c r="P58" s="21"/>
      <c r="Q58" s="22" t="s">
        <v>360</v>
      </c>
      <c r="R58" s="20" t="s">
        <v>25</v>
      </c>
      <c r="S58" s="20" t="s">
        <v>26</v>
      </c>
      <c r="T58" s="20" t="s">
        <v>266</v>
      </c>
      <c r="U58" s="20"/>
    </row>
    <row r="59">
      <c r="A59" s="37" t="s">
        <v>361</v>
      </c>
      <c r="B59" s="14" t="s">
        <v>362</v>
      </c>
      <c r="C59" s="38"/>
      <c r="D59" s="17"/>
      <c r="E59" s="17"/>
      <c r="F59" s="18"/>
      <c r="G59" s="18"/>
      <c r="H59" s="18"/>
      <c r="I59" s="18"/>
      <c r="J59" s="8" t="s">
        <v>363</v>
      </c>
      <c r="K59" s="8" t="str">
        <f>IFERROR(__xludf.DUMMYFUNCTION("GOOGLETRANSLATE(J59)"),"Kakao Page subscribers: 231,000
Japanese serialization")</f>
        <v>Kakao Page subscribers: 231,000
Japanese serialization</v>
      </c>
      <c r="L59" s="19">
        <v>3176000.0</v>
      </c>
      <c r="M59" s="19">
        <v>9900.0</v>
      </c>
      <c r="N59" s="20" t="s">
        <v>364</v>
      </c>
      <c r="O59" s="20" t="s">
        <v>365</v>
      </c>
      <c r="P59" s="21"/>
      <c r="Q59" s="22" t="s">
        <v>366</v>
      </c>
      <c r="R59" s="20" t="s">
        <v>25</v>
      </c>
      <c r="S59" s="20" t="s">
        <v>26</v>
      </c>
      <c r="T59" s="20" t="s">
        <v>35</v>
      </c>
      <c r="U59" s="20"/>
    </row>
    <row r="60">
      <c r="A60" s="37" t="s">
        <v>367</v>
      </c>
      <c r="B60" s="23" t="s">
        <v>29</v>
      </c>
      <c r="C60" s="39"/>
      <c r="D60" s="17"/>
      <c r="E60" s="17"/>
      <c r="F60" s="18"/>
      <c r="G60" s="18"/>
      <c r="H60" s="18"/>
      <c r="I60" s="18"/>
      <c r="J60" s="8" t="s">
        <v>357</v>
      </c>
      <c r="K60" s="8" t="str">
        <f>IFERROR(__xludf.DUMMYFUNCTION("GOOGLETRANSLATE(J60)"),"VR content contract")</f>
        <v>VR content contract</v>
      </c>
      <c r="L60" s="19" t="s">
        <v>29</v>
      </c>
      <c r="M60" s="19" t="s">
        <v>29</v>
      </c>
      <c r="N60" s="20" t="s">
        <v>368</v>
      </c>
      <c r="O60" s="20" t="s">
        <v>368</v>
      </c>
      <c r="P60" s="21"/>
      <c r="Q60" s="22" t="s">
        <v>369</v>
      </c>
      <c r="R60" s="20" t="s">
        <v>25</v>
      </c>
      <c r="S60" s="20" t="s">
        <v>26</v>
      </c>
      <c r="T60" s="20" t="s">
        <v>370</v>
      </c>
      <c r="U60" s="20"/>
    </row>
    <row r="61">
      <c r="A61" s="37" t="s">
        <v>371</v>
      </c>
      <c r="B61" s="14" t="s">
        <v>372</v>
      </c>
      <c r="C61" s="66" t="s">
        <v>373</v>
      </c>
      <c r="D61" s="17" t="s">
        <v>374</v>
      </c>
      <c r="E61" s="17"/>
      <c r="F61" s="18"/>
      <c r="G61" s="18"/>
      <c r="H61" s="18"/>
      <c r="I61" s="18"/>
      <c r="J61" s="8" t="s">
        <v>126</v>
      </c>
      <c r="K61" s="8" t="str">
        <f>IFERROR(__xludf.DUMMYFUNCTION("GOOGLETRANSLATE(J61)"),"Japanese serialization")</f>
        <v>Japanese serialization</v>
      </c>
      <c r="L61" s="19">
        <v>1323000.0</v>
      </c>
      <c r="M61" s="19">
        <v>9900.0</v>
      </c>
      <c r="N61" s="20" t="s">
        <v>375</v>
      </c>
      <c r="O61" s="20" t="s">
        <v>376</v>
      </c>
      <c r="P61" s="21"/>
      <c r="Q61" s="22" t="s">
        <v>377</v>
      </c>
      <c r="R61" s="20" t="s">
        <v>25</v>
      </c>
      <c r="S61" s="20" t="s">
        <v>26</v>
      </c>
      <c r="T61" s="20" t="s">
        <v>378</v>
      </c>
      <c r="U61" s="20"/>
    </row>
    <row r="62">
      <c r="A62" s="37" t="s">
        <v>379</v>
      </c>
      <c r="B62" s="14" t="s">
        <v>380</v>
      </c>
      <c r="C62" s="39"/>
      <c r="D62" s="17"/>
      <c r="E62" s="17"/>
      <c r="F62" s="18"/>
      <c r="G62" s="18"/>
      <c r="H62" s="18"/>
      <c r="I62" s="18"/>
      <c r="J62" s="36"/>
      <c r="K62" s="8" t="str">
        <f>IFERROR(__xludf.DUMMYFUNCTION("GOOGLETRANSLATE(J62)"),"#VALUE!")</f>
        <v>#VALUE!</v>
      </c>
      <c r="L62" s="19" t="s">
        <v>29</v>
      </c>
      <c r="M62" s="19" t="s">
        <v>29</v>
      </c>
      <c r="N62" s="20" t="s">
        <v>381</v>
      </c>
      <c r="O62" s="20" t="s">
        <v>381</v>
      </c>
      <c r="P62" s="21"/>
      <c r="Q62" s="22" t="s">
        <v>382</v>
      </c>
      <c r="R62" s="20" t="s">
        <v>25</v>
      </c>
      <c r="S62" s="20" t="s">
        <v>26</v>
      </c>
      <c r="T62" s="20" t="s">
        <v>383</v>
      </c>
      <c r="U62" s="20"/>
    </row>
    <row r="63">
      <c r="A63" s="37" t="s">
        <v>384</v>
      </c>
      <c r="B63" s="14" t="s">
        <v>385</v>
      </c>
      <c r="C63" s="39"/>
      <c r="D63" s="17"/>
      <c r="E63" s="17"/>
      <c r="F63" s="18"/>
      <c r="G63" s="18"/>
      <c r="H63" s="18"/>
      <c r="I63" s="18"/>
      <c r="J63" s="36"/>
      <c r="K63" s="8" t="str">
        <f>IFERROR(__xludf.DUMMYFUNCTION("GOOGLETRANSLATE(J63)"),"#VALUE!")</f>
        <v>#VALUE!</v>
      </c>
      <c r="L63" s="19">
        <v>3432000.0</v>
      </c>
      <c r="M63" s="19" t="s">
        <v>29</v>
      </c>
      <c r="N63" s="20" t="s">
        <v>386</v>
      </c>
      <c r="O63" s="20" t="s">
        <v>387</v>
      </c>
      <c r="P63" s="21"/>
      <c r="Q63" s="22" t="s">
        <v>388</v>
      </c>
      <c r="R63" s="20" t="s">
        <v>25</v>
      </c>
      <c r="S63" s="20" t="s">
        <v>26</v>
      </c>
      <c r="T63" s="20" t="s">
        <v>389</v>
      </c>
      <c r="U63" s="20"/>
    </row>
    <row r="64">
      <c r="A64" s="37" t="s">
        <v>390</v>
      </c>
      <c r="B64" s="14" t="s">
        <v>391</v>
      </c>
      <c r="C64" s="39"/>
      <c r="D64" s="17"/>
      <c r="E64" s="17"/>
      <c r="F64" s="18"/>
      <c r="G64" s="18"/>
      <c r="H64" s="18"/>
      <c r="I64" s="18"/>
      <c r="J64" s="36"/>
      <c r="K64" s="8" t="str">
        <f>IFERROR(__xludf.DUMMYFUNCTION("GOOGLETRANSLATE(J64)"),"#VALUE!")</f>
        <v>#VALUE!</v>
      </c>
      <c r="L64" s="19">
        <v>30000.0</v>
      </c>
      <c r="M64" s="19" t="s">
        <v>29</v>
      </c>
      <c r="N64" s="20" t="s">
        <v>392</v>
      </c>
      <c r="O64" s="20" t="s">
        <v>392</v>
      </c>
      <c r="P64" s="21"/>
      <c r="Q64" s="22" t="s">
        <v>393</v>
      </c>
      <c r="R64" s="20" t="s">
        <v>25</v>
      </c>
      <c r="S64" s="20" t="s">
        <v>26</v>
      </c>
      <c r="T64" s="20" t="s">
        <v>394</v>
      </c>
      <c r="U64" s="20"/>
    </row>
    <row r="65">
      <c r="A65" s="67" t="s">
        <v>395</v>
      </c>
      <c r="B65" s="68" t="s">
        <v>396</v>
      </c>
      <c r="C65" s="69"/>
      <c r="D65" s="17"/>
      <c r="E65" s="17"/>
      <c r="F65" s="18"/>
      <c r="G65" s="18"/>
      <c r="H65" s="18"/>
      <c r="I65" s="18"/>
      <c r="J65" s="70" t="s">
        <v>397</v>
      </c>
      <c r="K65" s="8" t="str">
        <f>IFERROR(__xludf.DUMMYFUNCTION("GOOGLETRANSLATE(J65)"),"Discontinued works")</f>
        <v>Discontinued works</v>
      </c>
      <c r="L65" s="71">
        <v>0.0</v>
      </c>
      <c r="M65" s="71">
        <v>0.0</v>
      </c>
      <c r="N65" s="72" t="s">
        <v>58</v>
      </c>
      <c r="O65" s="72" t="s">
        <v>58</v>
      </c>
      <c r="P65" s="73"/>
      <c r="Q65" s="74" t="s">
        <v>398</v>
      </c>
      <c r="R65" s="72" t="s">
        <v>25</v>
      </c>
      <c r="S65" s="72" t="s">
        <v>225</v>
      </c>
      <c r="T65" s="72" t="s">
        <v>399</v>
      </c>
      <c r="U65" s="72"/>
    </row>
    <row r="66">
      <c r="A66" s="37" t="s">
        <v>400</v>
      </c>
      <c r="B66" s="14" t="s">
        <v>401</v>
      </c>
      <c r="C66" s="39"/>
      <c r="D66" s="17"/>
      <c r="E66" s="17"/>
      <c r="F66" s="18"/>
      <c r="G66" s="18"/>
      <c r="H66" s="18"/>
      <c r="I66" s="18"/>
      <c r="J66" s="8" t="s">
        <v>402</v>
      </c>
      <c r="K66" s="8" t="str">
        <f>IFERROR(__xludf.DUMMYFUNCTION("GOOGLETRANSLATE(J66)"),"remake")</f>
        <v>remake</v>
      </c>
      <c r="L66" s="19">
        <v>107000.0</v>
      </c>
      <c r="M66" s="19">
        <v>9300.0</v>
      </c>
      <c r="N66" s="20" t="s">
        <v>336</v>
      </c>
      <c r="O66" s="20" t="s">
        <v>403</v>
      </c>
      <c r="P66" s="21"/>
      <c r="Q66" s="22" t="s">
        <v>404</v>
      </c>
      <c r="R66" s="20" t="s">
        <v>25</v>
      </c>
      <c r="S66" s="20" t="s">
        <v>26</v>
      </c>
      <c r="T66" s="20" t="s">
        <v>405</v>
      </c>
      <c r="U66" s="20"/>
    </row>
    <row r="67">
      <c r="A67" s="37" t="s">
        <v>406</v>
      </c>
      <c r="B67" s="14" t="s">
        <v>407</v>
      </c>
      <c r="C67" s="39"/>
      <c r="D67" s="17"/>
      <c r="E67" s="17"/>
      <c r="F67" s="18"/>
      <c r="G67" s="18"/>
      <c r="H67" s="18"/>
      <c r="I67" s="18"/>
      <c r="J67" s="36"/>
      <c r="K67" s="8" t="str">
        <f>IFERROR(__xludf.DUMMYFUNCTION("GOOGLETRANSLATE(J67)"),"#VALUE!")</f>
        <v>#VALUE!</v>
      </c>
      <c r="L67" s="19">
        <v>1800.0</v>
      </c>
      <c r="M67" s="19">
        <v>99.0</v>
      </c>
      <c r="N67" s="20" t="s">
        <v>336</v>
      </c>
      <c r="O67" s="20" t="s">
        <v>336</v>
      </c>
      <c r="P67" s="21"/>
      <c r="Q67" s="22" t="s">
        <v>408</v>
      </c>
      <c r="R67" s="20" t="s">
        <v>25</v>
      </c>
      <c r="S67" s="20" t="s">
        <v>26</v>
      </c>
      <c r="T67" s="20" t="s">
        <v>266</v>
      </c>
      <c r="U67" s="20"/>
    </row>
    <row r="68">
      <c r="A68" s="37" t="s">
        <v>409</v>
      </c>
      <c r="B68" s="14" t="s">
        <v>410</v>
      </c>
      <c r="C68" s="39"/>
      <c r="D68" s="17"/>
      <c r="E68" s="17"/>
      <c r="F68" s="18"/>
      <c r="G68" s="18"/>
      <c r="H68" s="18"/>
      <c r="I68" s="18"/>
      <c r="J68" s="8" t="s">
        <v>32</v>
      </c>
      <c r="K68" s="8" t="str">
        <f>IFERROR(__xludf.DUMMYFUNCTION("GOOGLETRANSLATE(J68)"),"North American serialization")</f>
        <v>North American serialization</v>
      </c>
      <c r="L68" s="19" t="s">
        <v>29</v>
      </c>
      <c r="M68" s="19">
        <v>42545.0</v>
      </c>
      <c r="N68" s="20" t="s">
        <v>411</v>
      </c>
      <c r="O68" s="20" t="s">
        <v>141</v>
      </c>
      <c r="P68" s="21"/>
      <c r="Q68" s="22" t="s">
        <v>412</v>
      </c>
      <c r="R68" s="20" t="s">
        <v>25</v>
      </c>
      <c r="S68" s="20" t="s">
        <v>26</v>
      </c>
      <c r="T68" s="20" t="s">
        <v>413</v>
      </c>
      <c r="U68" s="20"/>
    </row>
    <row r="69">
      <c r="A69" s="67" t="s">
        <v>414</v>
      </c>
      <c r="B69" s="75" t="s">
        <v>29</v>
      </c>
      <c r="C69" s="69"/>
      <c r="D69" s="17"/>
      <c r="E69" s="17"/>
      <c r="F69" s="18"/>
      <c r="G69" s="18"/>
      <c r="H69" s="18"/>
      <c r="I69" s="18"/>
      <c r="J69" s="70" t="s">
        <v>415</v>
      </c>
      <c r="K69" s="8" t="str">
        <f>IFERROR(__xludf.DUMMYFUNCTION("GOOGLETRANSLATE(J69)"),"Works whose contract has ended")</f>
        <v>Works whose contract has ended</v>
      </c>
      <c r="L69" s="71" t="s">
        <v>29</v>
      </c>
      <c r="M69" s="71" t="s">
        <v>29</v>
      </c>
      <c r="N69" s="72" t="s">
        <v>416</v>
      </c>
      <c r="O69" s="72" t="s">
        <v>416</v>
      </c>
      <c r="P69" s="73"/>
      <c r="Q69" s="74" t="s">
        <v>417</v>
      </c>
      <c r="R69" s="72" t="s">
        <v>25</v>
      </c>
      <c r="S69" s="72" t="s">
        <v>26</v>
      </c>
      <c r="T69" s="72" t="s">
        <v>418</v>
      </c>
      <c r="U69" s="72"/>
    </row>
    <row r="70">
      <c r="A70" s="37" t="s">
        <v>419</v>
      </c>
      <c r="B70" s="23" t="s">
        <v>29</v>
      </c>
      <c r="C70" s="39"/>
      <c r="D70" s="17"/>
      <c r="E70" s="17"/>
      <c r="F70" s="18"/>
      <c r="G70" s="18"/>
      <c r="H70" s="18"/>
      <c r="I70" s="18"/>
      <c r="J70" s="36"/>
      <c r="K70" s="8" t="str">
        <f>IFERROR(__xludf.DUMMYFUNCTION("GOOGLETRANSLATE(J70)"),"#VALUE!")</f>
        <v>#VALUE!</v>
      </c>
      <c r="L70" s="19" t="s">
        <v>29</v>
      </c>
      <c r="M70" s="19" t="s">
        <v>29</v>
      </c>
      <c r="N70" s="20" t="s">
        <v>420</v>
      </c>
      <c r="O70" s="20" t="s">
        <v>420</v>
      </c>
      <c r="P70" s="21"/>
      <c r="Q70" s="22" t="s">
        <v>421</v>
      </c>
      <c r="R70" s="20" t="s">
        <v>25</v>
      </c>
      <c r="S70" s="20" t="s">
        <v>26</v>
      </c>
      <c r="T70" s="20" t="s">
        <v>266</v>
      </c>
      <c r="U70" s="20"/>
    </row>
    <row r="71">
      <c r="A71" s="37" t="s">
        <v>422</v>
      </c>
      <c r="B71" s="14" t="s">
        <v>423</v>
      </c>
      <c r="C71" s="66" t="s">
        <v>424</v>
      </c>
      <c r="D71" s="17" t="s">
        <v>425</v>
      </c>
      <c r="E71" s="17"/>
      <c r="F71" s="18"/>
      <c r="G71" s="18"/>
      <c r="H71" s="18"/>
      <c r="I71" s="18"/>
      <c r="J71" s="36"/>
      <c r="K71" s="8" t="str">
        <f>IFERROR(__xludf.DUMMYFUNCTION("GOOGLETRANSLATE(J71)"),"#VALUE!")</f>
        <v>#VALUE!</v>
      </c>
      <c r="L71" s="19">
        <v>107000.0</v>
      </c>
      <c r="M71" s="19">
        <v>2963.0</v>
      </c>
      <c r="N71" s="20" t="s">
        <v>426</v>
      </c>
      <c r="O71" s="20" t="s">
        <v>427</v>
      </c>
      <c r="P71" s="21"/>
      <c r="Q71" s="22" t="s">
        <v>428</v>
      </c>
      <c r="R71" s="20" t="s">
        <v>25</v>
      </c>
      <c r="S71" s="20" t="s">
        <v>348</v>
      </c>
      <c r="T71" s="20" t="s">
        <v>429</v>
      </c>
      <c r="U71" s="20"/>
    </row>
    <row r="72">
      <c r="A72" s="37" t="s">
        <v>430</v>
      </c>
      <c r="B72" s="14" t="s">
        <v>431</v>
      </c>
      <c r="C72" s="39"/>
      <c r="D72" s="17"/>
      <c r="E72" s="17"/>
      <c r="F72" s="18"/>
      <c r="G72" s="18"/>
      <c r="H72" s="18"/>
      <c r="I72" s="18"/>
      <c r="J72" s="36"/>
      <c r="K72" s="8" t="str">
        <f>IFERROR(__xludf.DUMMYFUNCTION("GOOGLETRANSLATE(J72)"),"#VALUE!")</f>
        <v>#VALUE!</v>
      </c>
      <c r="L72" s="19">
        <v>17000.0</v>
      </c>
      <c r="M72" s="19" t="s">
        <v>29</v>
      </c>
      <c r="N72" s="20" t="s">
        <v>49</v>
      </c>
      <c r="O72" s="20" t="s">
        <v>49</v>
      </c>
      <c r="P72" s="21"/>
      <c r="Q72" s="22" t="s">
        <v>432</v>
      </c>
      <c r="R72" s="20" t="s">
        <v>25</v>
      </c>
      <c r="S72" s="20" t="s">
        <v>26</v>
      </c>
      <c r="T72" s="20" t="s">
        <v>75</v>
      </c>
      <c r="U72" s="20"/>
    </row>
    <row r="73">
      <c r="A73" s="37" t="s">
        <v>433</v>
      </c>
      <c r="B73" s="14" t="s">
        <v>434</v>
      </c>
      <c r="C73" s="39"/>
      <c r="D73" s="17"/>
      <c r="E73" s="17"/>
      <c r="F73" s="18"/>
      <c r="G73" s="18"/>
      <c r="H73" s="18"/>
      <c r="I73" s="18"/>
      <c r="J73" s="8" t="s">
        <v>435</v>
      </c>
      <c r="K73" s="8" t="str">
        <f>IFERROR(__xludf.DUMMYFUNCTION("GOOGLETRANSLATE(J73)"),"SNL Korea → Translucent Man... Ace Story reveals first lineup of content for 2021-2023 http://m.theceluv.com/article.php?aid=1629854458390626006")</f>
        <v>SNL Korea → Translucent Man... Ace Story reveals first lineup of content for 2021-2023 http://m.theceluv.com/article.php?aid=1629854458390626006</v>
      </c>
      <c r="L73" s="19">
        <v>0.0</v>
      </c>
      <c r="M73" s="19">
        <v>8.0</v>
      </c>
      <c r="N73" s="20" t="s">
        <v>436</v>
      </c>
      <c r="O73" s="20" t="s">
        <v>264</v>
      </c>
      <c r="P73" s="21"/>
      <c r="Q73" s="22" t="s">
        <v>437</v>
      </c>
      <c r="R73" s="20" t="s">
        <v>25</v>
      </c>
      <c r="S73" s="20" t="s">
        <v>225</v>
      </c>
      <c r="T73" s="20" t="s">
        <v>438</v>
      </c>
      <c r="U73" s="20"/>
    </row>
    <row r="74">
      <c r="A74" s="37" t="s">
        <v>439</v>
      </c>
      <c r="B74" s="14" t="s">
        <v>440</v>
      </c>
      <c r="C74" s="66" t="s">
        <v>424</v>
      </c>
      <c r="D74" s="17" t="s">
        <v>425</v>
      </c>
      <c r="E74" s="17"/>
      <c r="F74" s="18"/>
      <c r="G74" s="18"/>
      <c r="H74" s="18"/>
      <c r="I74" s="18"/>
      <c r="J74" s="8" t="s">
        <v>126</v>
      </c>
      <c r="K74" s="8" t="str">
        <f>IFERROR(__xludf.DUMMYFUNCTION("GOOGLETRANSLATE(J74)"),"Japanese serialization")</f>
        <v>Japanese serialization</v>
      </c>
      <c r="L74" s="19">
        <v>25000.0</v>
      </c>
      <c r="M74" s="19">
        <v>1090.0</v>
      </c>
      <c r="N74" s="20" t="s">
        <v>441</v>
      </c>
      <c r="O74" s="20" t="s">
        <v>441</v>
      </c>
      <c r="P74" s="21"/>
      <c r="Q74" s="22" t="s">
        <v>442</v>
      </c>
      <c r="R74" s="20" t="s">
        <v>25</v>
      </c>
      <c r="S74" s="20" t="s">
        <v>26</v>
      </c>
      <c r="T74" s="20" t="s">
        <v>429</v>
      </c>
      <c r="U74" s="20"/>
    </row>
    <row r="75">
      <c r="A75" s="37" t="s">
        <v>443</v>
      </c>
      <c r="B75" s="23" t="s">
        <v>29</v>
      </c>
      <c r="C75" s="39"/>
      <c r="D75" s="17"/>
      <c r="E75" s="17"/>
      <c r="F75" s="18"/>
      <c r="G75" s="18"/>
      <c r="H75" s="18"/>
      <c r="I75" s="18"/>
      <c r="J75" s="8" t="s">
        <v>126</v>
      </c>
      <c r="K75" s="8" t="str">
        <f>IFERROR(__xludf.DUMMYFUNCTION("GOOGLETRANSLATE(J75)"),"Japanese serialization")</f>
        <v>Japanese serialization</v>
      </c>
      <c r="L75" s="19" t="s">
        <v>29</v>
      </c>
      <c r="M75" s="19" t="s">
        <v>29</v>
      </c>
      <c r="N75" s="20" t="s">
        <v>444</v>
      </c>
      <c r="O75" s="20" t="s">
        <v>445</v>
      </c>
      <c r="P75" s="21"/>
      <c r="Q75" s="22" t="s">
        <v>446</v>
      </c>
      <c r="R75" s="20" t="s">
        <v>25</v>
      </c>
      <c r="S75" s="21"/>
      <c r="T75" s="20" t="s">
        <v>447</v>
      </c>
      <c r="U75" s="20"/>
    </row>
    <row r="76">
      <c r="A76" s="37" t="s">
        <v>448</v>
      </c>
      <c r="B76" s="23" t="s">
        <v>29</v>
      </c>
      <c r="C76" s="38"/>
      <c r="D76" s="17"/>
      <c r="E76" s="17"/>
      <c r="F76" s="18"/>
      <c r="G76" s="18"/>
      <c r="H76" s="18"/>
      <c r="I76" s="18"/>
      <c r="J76" s="8" t="s">
        <v>126</v>
      </c>
      <c r="K76" s="8" t="str">
        <f>IFERROR(__xludf.DUMMYFUNCTION("GOOGLETRANSLATE(J76)"),"Japanese serialization")</f>
        <v>Japanese serialization</v>
      </c>
      <c r="L76" s="19" t="s">
        <v>29</v>
      </c>
      <c r="M76" s="19" t="s">
        <v>29</v>
      </c>
      <c r="N76" s="20" t="s">
        <v>449</v>
      </c>
      <c r="O76" s="20" t="s">
        <v>450</v>
      </c>
      <c r="P76" s="21"/>
      <c r="Q76" s="22" t="s">
        <v>451</v>
      </c>
      <c r="R76" s="20" t="s">
        <v>25</v>
      </c>
      <c r="S76" s="20" t="s">
        <v>348</v>
      </c>
      <c r="T76" s="20" t="s">
        <v>452</v>
      </c>
      <c r="U76" s="20"/>
    </row>
    <row r="77">
      <c r="A77" s="37" t="s">
        <v>453</v>
      </c>
      <c r="B77" s="14" t="s">
        <v>454</v>
      </c>
      <c r="C77" s="38"/>
      <c r="D77" s="17"/>
      <c r="E77" s="17"/>
      <c r="F77" s="18"/>
      <c r="G77" s="18"/>
      <c r="H77" s="18"/>
      <c r="I77" s="18"/>
      <c r="J77" s="36"/>
      <c r="K77" s="8" t="str">
        <f>IFERROR(__xludf.DUMMYFUNCTION("GOOGLETRANSLATE(J77)"),"#VALUE!")</f>
        <v>#VALUE!</v>
      </c>
      <c r="L77" s="19">
        <v>345000.0</v>
      </c>
      <c r="M77" s="19" t="s">
        <v>29</v>
      </c>
      <c r="N77" s="20" t="s">
        <v>455</v>
      </c>
      <c r="O77" s="20" t="s">
        <v>455</v>
      </c>
      <c r="P77" s="21"/>
      <c r="Q77" s="22" t="s">
        <v>456</v>
      </c>
      <c r="R77" s="20" t="s">
        <v>25</v>
      </c>
      <c r="S77" s="20" t="s">
        <v>26</v>
      </c>
      <c r="T77" s="20" t="s">
        <v>457</v>
      </c>
      <c r="U77" s="20"/>
    </row>
    <row r="78">
      <c r="A78" s="37" t="s">
        <v>458</v>
      </c>
      <c r="B78" s="32" t="s">
        <v>29</v>
      </c>
      <c r="C78" s="39"/>
      <c r="D78" s="17"/>
      <c r="E78" s="17"/>
      <c r="F78" s="18"/>
      <c r="G78" s="18"/>
      <c r="H78" s="18"/>
      <c r="I78" s="18"/>
      <c r="J78" s="36"/>
      <c r="K78" s="8" t="str">
        <f>IFERROR(__xludf.DUMMYFUNCTION("GOOGLETRANSLATE(J78)"),"#VALUE!")</f>
        <v>#VALUE!</v>
      </c>
      <c r="L78" s="19" t="s">
        <v>29</v>
      </c>
      <c r="M78" s="19" t="s">
        <v>29</v>
      </c>
      <c r="N78" s="20" t="s">
        <v>459</v>
      </c>
      <c r="O78" s="20" t="s">
        <v>460</v>
      </c>
      <c r="P78" s="21"/>
      <c r="Q78" s="22" t="s">
        <v>461</v>
      </c>
      <c r="R78" s="20" t="s">
        <v>25</v>
      </c>
      <c r="S78" s="20" t="s">
        <v>348</v>
      </c>
      <c r="T78" s="20" t="s">
        <v>462</v>
      </c>
      <c r="U78" s="20"/>
    </row>
    <row r="79">
      <c r="A79" s="37" t="s">
        <v>463</v>
      </c>
      <c r="B79" s="25" t="s">
        <v>464</v>
      </c>
      <c r="C79" s="66" t="s">
        <v>424</v>
      </c>
      <c r="D79" s="17" t="s">
        <v>425</v>
      </c>
      <c r="E79" s="17"/>
      <c r="F79" s="18"/>
      <c r="G79" s="18"/>
      <c r="H79" s="18"/>
      <c r="I79" s="18"/>
      <c r="J79" s="8" t="s">
        <v>465</v>
      </c>
      <c r="K79" s="8" t="str">
        <f>IFERROR(__xludf.DUMMYFUNCTION("GOOGLETRANSLATE(J79)"),"Serialized in Taiwan, Thailand, and Spain")</f>
        <v>Serialized in Taiwan, Thailand, and Spain</v>
      </c>
      <c r="L79" s="19">
        <v>548000.0</v>
      </c>
      <c r="M79" s="19">
        <v>9739.0</v>
      </c>
      <c r="N79" s="20" t="s">
        <v>466</v>
      </c>
      <c r="O79" s="20" t="s">
        <v>466</v>
      </c>
      <c r="P79" s="21"/>
      <c r="Q79" s="22" t="s">
        <v>467</v>
      </c>
      <c r="R79" s="20" t="s">
        <v>25</v>
      </c>
      <c r="S79" s="20" t="s">
        <v>348</v>
      </c>
      <c r="T79" s="20" t="s">
        <v>468</v>
      </c>
      <c r="U79" s="20"/>
    </row>
    <row r="80">
      <c r="A80" s="37" t="s">
        <v>469</v>
      </c>
      <c r="B80" s="32" t="s">
        <v>29</v>
      </c>
      <c r="C80" s="39"/>
      <c r="D80" s="17"/>
      <c r="E80" s="17"/>
      <c r="F80" s="18"/>
      <c r="G80" s="18"/>
      <c r="H80" s="18"/>
      <c r="I80" s="18"/>
      <c r="J80" s="36"/>
      <c r="K80" s="8" t="str">
        <f>IFERROR(__xludf.DUMMYFUNCTION("GOOGLETRANSLATE(J80)"),"#VALUE!")</f>
        <v>#VALUE!</v>
      </c>
      <c r="L80" s="19" t="s">
        <v>29</v>
      </c>
      <c r="M80" s="19" t="s">
        <v>29</v>
      </c>
      <c r="N80" s="20" t="s">
        <v>470</v>
      </c>
      <c r="O80" s="20" t="s">
        <v>141</v>
      </c>
      <c r="P80" s="21"/>
      <c r="Q80" s="22" t="s">
        <v>471</v>
      </c>
      <c r="R80" s="20" t="s">
        <v>25</v>
      </c>
      <c r="S80" s="21"/>
      <c r="T80" s="20" t="s">
        <v>143</v>
      </c>
      <c r="U80" s="20"/>
    </row>
    <row r="81">
      <c r="A81" s="37" t="s">
        <v>472</v>
      </c>
      <c r="B81" s="23" t="s">
        <v>29</v>
      </c>
      <c r="C81" s="39"/>
      <c r="D81" s="17"/>
      <c r="E81" s="17"/>
      <c r="F81" s="18"/>
      <c r="G81" s="18"/>
      <c r="H81" s="18"/>
      <c r="I81" s="18"/>
      <c r="J81" s="36"/>
      <c r="K81" s="8" t="str">
        <f>IFERROR(__xludf.DUMMYFUNCTION("GOOGLETRANSLATE(J81)"),"#VALUE!")</f>
        <v>#VALUE!</v>
      </c>
      <c r="L81" s="19" t="s">
        <v>29</v>
      </c>
      <c r="M81" s="19" t="s">
        <v>29</v>
      </c>
      <c r="N81" s="20" t="s">
        <v>473</v>
      </c>
      <c r="O81" s="20" t="s">
        <v>473</v>
      </c>
      <c r="P81" s="21"/>
      <c r="Q81" s="22" t="s">
        <v>474</v>
      </c>
      <c r="R81" s="20" t="s">
        <v>25</v>
      </c>
      <c r="S81" s="20" t="s">
        <v>348</v>
      </c>
      <c r="T81" s="20" t="s">
        <v>475</v>
      </c>
      <c r="U81" s="20"/>
    </row>
    <row r="82">
      <c r="A82" s="37" t="s">
        <v>476</v>
      </c>
      <c r="B82" s="14" t="s">
        <v>477</v>
      </c>
      <c r="C82" s="38"/>
      <c r="D82" s="17"/>
      <c r="E82" s="17"/>
      <c r="F82" s="18"/>
      <c r="G82" s="18"/>
      <c r="H82" s="18"/>
      <c r="I82" s="18"/>
      <c r="J82" s="8" t="s">
        <v>126</v>
      </c>
      <c r="K82" s="8" t="str">
        <f>IFERROR(__xludf.DUMMYFUNCTION("GOOGLETRANSLATE(J82)"),"Japanese serialization")</f>
        <v>Japanese serialization</v>
      </c>
      <c r="L82" s="19" t="s">
        <v>29</v>
      </c>
      <c r="M82" s="19" t="s">
        <v>29</v>
      </c>
      <c r="N82" s="20" t="s">
        <v>336</v>
      </c>
      <c r="O82" s="20" t="s">
        <v>336</v>
      </c>
      <c r="P82" s="21"/>
      <c r="Q82" s="22" t="s">
        <v>478</v>
      </c>
      <c r="R82" s="20" t="s">
        <v>25</v>
      </c>
      <c r="S82" s="20" t="s">
        <v>26</v>
      </c>
      <c r="T82" s="20" t="s">
        <v>457</v>
      </c>
      <c r="U82" s="20"/>
    </row>
    <row r="83">
      <c r="A83" s="37" t="s">
        <v>479</v>
      </c>
      <c r="B83" s="14" t="s">
        <v>480</v>
      </c>
      <c r="C83" s="38"/>
      <c r="D83" s="17"/>
      <c r="E83" s="17"/>
      <c r="F83" s="18"/>
      <c r="G83" s="18"/>
      <c r="H83" s="18"/>
      <c r="I83" s="18"/>
      <c r="J83" s="8" t="s">
        <v>29</v>
      </c>
      <c r="K83" s="8" t="str">
        <f>IFERROR(__xludf.DUMMYFUNCTION("GOOGLETRANSLATE(J83)"),"-")</f>
        <v>-</v>
      </c>
      <c r="L83" s="19">
        <v>22000.0</v>
      </c>
      <c r="M83" s="19">
        <v>0.0</v>
      </c>
      <c r="N83" s="20" t="s">
        <v>481</v>
      </c>
      <c r="O83" s="20" t="s">
        <v>481</v>
      </c>
      <c r="P83" s="21"/>
      <c r="Q83" s="22" t="s">
        <v>482</v>
      </c>
      <c r="R83" s="20" t="s">
        <v>25</v>
      </c>
      <c r="S83" s="20" t="s">
        <v>26</v>
      </c>
      <c r="T83" s="20" t="s">
        <v>483</v>
      </c>
      <c r="U83" s="20"/>
    </row>
    <row r="84">
      <c r="A84" s="37" t="s">
        <v>484</v>
      </c>
      <c r="B84" s="14" t="s">
        <v>485</v>
      </c>
      <c r="C84" s="38"/>
      <c r="D84" s="17"/>
      <c r="E84" s="17"/>
      <c r="F84" s="18"/>
      <c r="G84" s="18"/>
      <c r="H84" s="18"/>
      <c r="I84" s="18"/>
      <c r="J84" s="8" t="s">
        <v>486</v>
      </c>
      <c r="K84" s="8" t="str">
        <f>IFERROR(__xludf.DUMMYFUNCTION("GOOGLETRANSLATE(J84)"),"Toptoon 10 million+ subscribers")</f>
        <v>Toptoon 10 million+ subscribers</v>
      </c>
      <c r="L84" s="19" t="s">
        <v>29</v>
      </c>
      <c r="M84" s="19" t="s">
        <v>29</v>
      </c>
      <c r="N84" s="20" t="s">
        <v>487</v>
      </c>
      <c r="O84" s="20" t="s">
        <v>488</v>
      </c>
      <c r="P84" s="21"/>
      <c r="Q84" s="22" t="s">
        <v>489</v>
      </c>
      <c r="R84" s="20" t="s">
        <v>25</v>
      </c>
      <c r="S84" s="20" t="s">
        <v>348</v>
      </c>
      <c r="T84" s="20" t="s">
        <v>490</v>
      </c>
      <c r="U84" s="20"/>
    </row>
    <row r="85">
      <c r="A85" s="37" t="s">
        <v>491</v>
      </c>
      <c r="B85" s="23" t="s">
        <v>29</v>
      </c>
      <c r="C85" s="39"/>
      <c r="D85" s="17"/>
      <c r="E85" s="17"/>
      <c r="F85" s="18"/>
      <c r="G85" s="18"/>
      <c r="H85" s="18"/>
      <c r="I85" s="18"/>
      <c r="J85" s="36"/>
      <c r="K85" s="8" t="str">
        <f>IFERROR(__xludf.DUMMYFUNCTION("GOOGLETRANSLATE(J85)"),"#VALUE!")</f>
        <v>#VALUE!</v>
      </c>
      <c r="L85" s="19" t="s">
        <v>29</v>
      </c>
      <c r="M85" s="19" t="s">
        <v>29</v>
      </c>
      <c r="N85" s="20" t="s">
        <v>492</v>
      </c>
      <c r="O85" s="20" t="s">
        <v>493</v>
      </c>
      <c r="P85" s="21"/>
      <c r="Q85" s="22" t="s">
        <v>494</v>
      </c>
      <c r="R85" s="20" t="s">
        <v>25</v>
      </c>
      <c r="S85" s="20" t="s">
        <v>26</v>
      </c>
      <c r="T85" s="20" t="s">
        <v>495</v>
      </c>
      <c r="U85" s="20"/>
    </row>
    <row r="86">
      <c r="A86" s="37" t="s">
        <v>496</v>
      </c>
      <c r="B86" s="23" t="s">
        <v>29</v>
      </c>
      <c r="C86" s="38"/>
      <c r="D86" s="17"/>
      <c r="E86" s="17"/>
      <c r="F86" s="18"/>
      <c r="G86" s="18"/>
      <c r="H86" s="18"/>
      <c r="I86" s="18"/>
      <c r="J86" s="36"/>
      <c r="K86" s="8" t="str">
        <f>IFERROR(__xludf.DUMMYFUNCTION("GOOGLETRANSLATE(J86)"),"#VALUE!")</f>
        <v>#VALUE!</v>
      </c>
      <c r="L86" s="19" t="s">
        <v>29</v>
      </c>
      <c r="M86" s="19" t="s">
        <v>29</v>
      </c>
      <c r="N86" s="20" t="s">
        <v>497</v>
      </c>
      <c r="O86" s="20" t="s">
        <v>497</v>
      </c>
      <c r="P86" s="21"/>
      <c r="Q86" s="22" t="s">
        <v>498</v>
      </c>
      <c r="R86" s="20" t="s">
        <v>25</v>
      </c>
      <c r="S86" s="20" t="s">
        <v>26</v>
      </c>
      <c r="T86" s="20" t="s">
        <v>27</v>
      </c>
      <c r="U86" s="20"/>
    </row>
    <row r="87">
      <c r="A87" s="37" t="s">
        <v>499</v>
      </c>
      <c r="B87" s="23" t="s">
        <v>29</v>
      </c>
      <c r="C87" s="38"/>
      <c r="D87" s="17"/>
      <c r="E87" s="17"/>
      <c r="F87" s="18"/>
      <c r="G87" s="18"/>
      <c r="H87" s="18"/>
      <c r="I87" s="18"/>
      <c r="J87" s="36"/>
      <c r="K87" s="8" t="str">
        <f>IFERROR(__xludf.DUMMYFUNCTION("GOOGLETRANSLATE(J87)"),"#VALUE!")</f>
        <v>#VALUE!</v>
      </c>
      <c r="L87" s="19" t="s">
        <v>29</v>
      </c>
      <c r="M87" s="19" t="s">
        <v>29</v>
      </c>
      <c r="N87" s="20" t="s">
        <v>500</v>
      </c>
      <c r="O87" s="20" t="s">
        <v>500</v>
      </c>
      <c r="P87" s="21"/>
      <c r="Q87" s="22" t="s">
        <v>501</v>
      </c>
      <c r="R87" s="20" t="s">
        <v>25</v>
      </c>
      <c r="S87" s="20" t="s">
        <v>26</v>
      </c>
      <c r="T87" s="20" t="s">
        <v>502</v>
      </c>
      <c r="U87" s="20"/>
    </row>
    <row r="88">
      <c r="A88" s="37" t="s">
        <v>503</v>
      </c>
      <c r="B88" s="32" t="s">
        <v>29</v>
      </c>
      <c r="C88" s="38"/>
      <c r="D88" s="17"/>
      <c r="E88" s="17"/>
      <c r="F88" s="18"/>
      <c r="G88" s="18"/>
      <c r="H88" s="18"/>
      <c r="I88" s="18"/>
      <c r="J88" s="8" t="s">
        <v>504</v>
      </c>
      <c r="K88" s="8" t="str">
        <f>IFERROR(__xludf.DUMMYFUNCTION("GOOGLETRANSLATE(J88)"),"Service termination")</f>
        <v>Service termination</v>
      </c>
      <c r="L88" s="19" t="s">
        <v>29</v>
      </c>
      <c r="M88" s="19" t="s">
        <v>29</v>
      </c>
      <c r="N88" s="20" t="s">
        <v>505</v>
      </c>
      <c r="O88" s="20" t="s">
        <v>505</v>
      </c>
      <c r="P88" s="21"/>
      <c r="Q88" s="22" t="s">
        <v>506</v>
      </c>
      <c r="R88" s="20" t="s">
        <v>25</v>
      </c>
      <c r="S88" s="20" t="s">
        <v>225</v>
      </c>
      <c r="T88" s="20" t="s">
        <v>27</v>
      </c>
      <c r="U88" s="20"/>
    </row>
    <row r="89">
      <c r="A89" s="37" t="s">
        <v>507</v>
      </c>
      <c r="B89" s="23" t="s">
        <v>29</v>
      </c>
      <c r="C89" s="39"/>
      <c r="D89" s="17"/>
      <c r="E89" s="17"/>
      <c r="F89" s="18"/>
      <c r="G89" s="18"/>
      <c r="H89" s="18"/>
      <c r="I89" s="18"/>
      <c r="J89" s="36"/>
      <c r="K89" s="8" t="str">
        <f>IFERROR(__xludf.DUMMYFUNCTION("GOOGLETRANSLATE(J89)"),"#VALUE!")</f>
        <v>#VALUE!</v>
      </c>
      <c r="L89" s="19" t="s">
        <v>29</v>
      </c>
      <c r="M89" s="19" t="s">
        <v>29</v>
      </c>
      <c r="N89" s="20" t="s">
        <v>473</v>
      </c>
      <c r="O89" s="20" t="s">
        <v>473</v>
      </c>
      <c r="P89" s="21"/>
      <c r="Q89" s="22" t="s">
        <v>508</v>
      </c>
      <c r="R89" s="20" t="s">
        <v>25</v>
      </c>
      <c r="S89" s="20" t="s">
        <v>26</v>
      </c>
      <c r="T89" s="20" t="s">
        <v>457</v>
      </c>
      <c r="U89" s="20"/>
    </row>
    <row r="90">
      <c r="A90" s="37" t="s">
        <v>509</v>
      </c>
      <c r="B90" s="14" t="s">
        <v>510</v>
      </c>
      <c r="C90" s="66" t="s">
        <v>424</v>
      </c>
      <c r="D90" s="17" t="s">
        <v>425</v>
      </c>
      <c r="E90" s="17"/>
      <c r="F90" s="18"/>
      <c r="G90" s="18"/>
      <c r="H90" s="18"/>
      <c r="I90" s="18"/>
      <c r="J90" s="36"/>
      <c r="K90" s="8" t="str">
        <f>IFERROR(__xludf.DUMMYFUNCTION("GOOGLETRANSLATE(J90)"),"#VALUE!")</f>
        <v>#VALUE!</v>
      </c>
      <c r="L90" s="19" t="s">
        <v>29</v>
      </c>
      <c r="M90" s="19" t="s">
        <v>29</v>
      </c>
      <c r="N90" s="20" t="s">
        <v>511</v>
      </c>
      <c r="O90" s="20" t="s">
        <v>511</v>
      </c>
      <c r="P90" s="21"/>
      <c r="Q90" s="22" t="s">
        <v>512</v>
      </c>
      <c r="R90" s="20" t="s">
        <v>25</v>
      </c>
      <c r="S90" s="20" t="s">
        <v>26</v>
      </c>
      <c r="T90" s="20" t="s">
        <v>513</v>
      </c>
      <c r="U90" s="20"/>
    </row>
    <row r="91">
      <c r="A91" s="37" t="s">
        <v>514</v>
      </c>
      <c r="B91" s="14" t="s">
        <v>515</v>
      </c>
      <c r="C91" s="39"/>
      <c r="D91" s="17"/>
      <c r="E91" s="17"/>
      <c r="F91" s="18"/>
      <c r="G91" s="18"/>
      <c r="H91" s="18"/>
      <c r="I91" s="18"/>
      <c r="J91" s="8" t="s">
        <v>516</v>
      </c>
      <c r="K91" s="8" t="str">
        <f>IFERROR(__xludf.DUMMYFUNCTION("GOOGLETRANSLATE(J91)"),"Toptoon 8.5 million+ subscribers")</f>
        <v>Toptoon 8.5 million+ subscribers</v>
      </c>
      <c r="L91" s="19" t="s">
        <v>29</v>
      </c>
      <c r="M91" s="19" t="s">
        <v>29</v>
      </c>
      <c r="N91" s="20" t="s">
        <v>517</v>
      </c>
      <c r="O91" s="20" t="s">
        <v>518</v>
      </c>
      <c r="P91" s="21"/>
      <c r="Q91" s="22" t="s">
        <v>519</v>
      </c>
      <c r="R91" s="20" t="s">
        <v>25</v>
      </c>
      <c r="S91" s="20" t="s">
        <v>348</v>
      </c>
      <c r="T91" s="20" t="s">
        <v>490</v>
      </c>
      <c r="U91" s="20"/>
    </row>
    <row r="92">
      <c r="A92" s="37" t="s">
        <v>520</v>
      </c>
      <c r="B92" s="14" t="s">
        <v>521</v>
      </c>
      <c r="C92" s="66" t="s">
        <v>424</v>
      </c>
      <c r="D92" s="17" t="s">
        <v>425</v>
      </c>
      <c r="E92" s="17"/>
      <c r="F92" s="18"/>
      <c r="G92" s="18"/>
      <c r="H92" s="18"/>
      <c r="I92" s="18"/>
      <c r="J92" s="8" t="s">
        <v>522</v>
      </c>
      <c r="K92" s="8" t="str">
        <f>IFERROR(__xludf.DUMMYFUNCTION("GOOGLETRANSLATE(J92)"),"- Springtoon Weekly Webtoon #3 - Serialized in Thailand and North America")</f>
        <v>- Springtoon Weekly Webtoon #3 - Serialized in Thailand and North America</v>
      </c>
      <c r="L92" s="19">
        <v>438000.0</v>
      </c>
      <c r="M92" s="19">
        <v>5237.0</v>
      </c>
      <c r="N92" s="20" t="s">
        <v>466</v>
      </c>
      <c r="O92" s="20" t="s">
        <v>466</v>
      </c>
      <c r="P92" s="21"/>
      <c r="Q92" s="22" t="s">
        <v>523</v>
      </c>
      <c r="R92" s="20" t="s">
        <v>25</v>
      </c>
      <c r="S92" s="20" t="s">
        <v>348</v>
      </c>
      <c r="T92" s="20" t="s">
        <v>524</v>
      </c>
      <c r="U92" s="20"/>
    </row>
    <row r="93">
      <c r="A93" s="37" t="s">
        <v>525</v>
      </c>
      <c r="B93" s="25" t="s">
        <v>526</v>
      </c>
      <c r="C93" s="66" t="s">
        <v>527</v>
      </c>
      <c r="D93" s="17" t="s">
        <v>528</v>
      </c>
      <c r="E93" s="17"/>
      <c r="F93" s="18"/>
      <c r="G93" s="18"/>
      <c r="H93" s="18"/>
      <c r="I93" s="18"/>
      <c r="J93" s="8" t="s">
        <v>529</v>
      </c>
      <c r="K93" s="8" t="str">
        <f>IFERROR(__xludf.DUMMYFUNCTION("GOOGLETRANSLATE(J93)"),"Serialized in North America, China, and Japan")</f>
        <v>Serialized in North America, China, and Japan</v>
      </c>
      <c r="L93" s="19">
        <v>829000.0</v>
      </c>
      <c r="M93" s="19">
        <v>8376.0</v>
      </c>
      <c r="N93" s="20" t="s">
        <v>530</v>
      </c>
      <c r="O93" s="20" t="s">
        <v>531</v>
      </c>
      <c r="P93" s="21"/>
      <c r="Q93" s="22" t="s">
        <v>532</v>
      </c>
      <c r="R93" s="20" t="s">
        <v>25</v>
      </c>
      <c r="S93" s="20" t="s">
        <v>533</v>
      </c>
      <c r="T93" s="20" t="s">
        <v>429</v>
      </c>
      <c r="U93" s="20"/>
    </row>
    <row r="94">
      <c r="A94" s="37" t="s">
        <v>534</v>
      </c>
      <c r="B94" s="14" t="s">
        <v>535</v>
      </c>
      <c r="C94" s="39"/>
      <c r="D94" s="17"/>
      <c r="E94" s="17"/>
      <c r="F94" s="18"/>
      <c r="G94" s="18"/>
      <c r="H94" s="18"/>
      <c r="I94" s="18"/>
      <c r="J94" s="36"/>
      <c r="K94" s="8" t="str">
        <f>IFERROR(__xludf.DUMMYFUNCTION("GOOGLETRANSLATE(J94)"),"#VALUE!")</f>
        <v>#VALUE!</v>
      </c>
      <c r="L94" s="19" t="s">
        <v>29</v>
      </c>
      <c r="M94" s="19">
        <v>14978.0</v>
      </c>
      <c r="N94" s="20">
        <v>595.0</v>
      </c>
      <c r="O94" s="20" t="s">
        <v>141</v>
      </c>
      <c r="P94" s="21"/>
      <c r="Q94" s="22" t="s">
        <v>536</v>
      </c>
      <c r="R94" s="20" t="s">
        <v>25</v>
      </c>
      <c r="S94" s="20" t="s">
        <v>26</v>
      </c>
      <c r="T94" s="20" t="s">
        <v>537</v>
      </c>
      <c r="U94" s="20"/>
    </row>
    <row r="95">
      <c r="A95" s="37" t="s">
        <v>538</v>
      </c>
      <c r="B95" s="14" t="s">
        <v>539</v>
      </c>
      <c r="C95" s="39"/>
      <c r="D95" s="17"/>
      <c r="E95" s="17"/>
      <c r="F95" s="18"/>
      <c r="G95" s="18"/>
      <c r="H95" s="18"/>
      <c r="I95" s="18"/>
      <c r="J95" s="36"/>
      <c r="K95" s="8" t="str">
        <f>IFERROR(__xludf.DUMMYFUNCTION("GOOGLETRANSLATE(J95)"),"#VALUE!")</f>
        <v>#VALUE!</v>
      </c>
      <c r="L95" s="19" t="s">
        <v>29</v>
      </c>
      <c r="M95" s="19" t="s">
        <v>29</v>
      </c>
      <c r="N95" s="20" t="s">
        <v>540</v>
      </c>
      <c r="O95" s="20" t="s">
        <v>141</v>
      </c>
      <c r="P95" s="21"/>
      <c r="Q95" s="22" t="s">
        <v>541</v>
      </c>
      <c r="R95" s="20" t="s">
        <v>25</v>
      </c>
      <c r="S95" s="20" t="s">
        <v>26</v>
      </c>
      <c r="T95" s="20" t="s">
        <v>413</v>
      </c>
      <c r="U95" s="20"/>
    </row>
    <row r="96">
      <c r="A96" s="37" t="s">
        <v>542</v>
      </c>
      <c r="B96" s="14" t="s">
        <v>543</v>
      </c>
      <c r="C96" s="66" t="s">
        <v>527</v>
      </c>
      <c r="D96" s="17" t="s">
        <v>528</v>
      </c>
      <c r="E96" s="17"/>
      <c r="F96" s="18"/>
      <c r="G96" s="18"/>
      <c r="H96" s="18"/>
      <c r="I96" s="18"/>
      <c r="J96" s="36"/>
      <c r="K96" s="8" t="str">
        <f>IFERROR(__xludf.DUMMYFUNCTION("GOOGLETRANSLATE(J96)"),"#VALUE!")</f>
        <v>#VALUE!</v>
      </c>
      <c r="L96" s="19">
        <v>164000.0</v>
      </c>
      <c r="M96" s="19">
        <v>1340.0</v>
      </c>
      <c r="N96" s="20" t="s">
        <v>544</v>
      </c>
      <c r="O96" s="20" t="s">
        <v>545</v>
      </c>
      <c r="P96" s="21"/>
      <c r="Q96" s="22" t="s">
        <v>546</v>
      </c>
      <c r="R96" s="20" t="s">
        <v>25</v>
      </c>
      <c r="S96" s="20" t="s">
        <v>348</v>
      </c>
      <c r="T96" s="20" t="s">
        <v>547</v>
      </c>
      <c r="U96" s="20"/>
    </row>
    <row r="97">
      <c r="A97" s="37" t="s">
        <v>548</v>
      </c>
      <c r="B97" s="25" t="s">
        <v>549</v>
      </c>
      <c r="C97" s="39"/>
      <c r="D97" s="17"/>
      <c r="E97" s="17"/>
      <c r="F97" s="18"/>
      <c r="G97" s="18"/>
      <c r="H97" s="18"/>
      <c r="I97" s="18"/>
      <c r="J97" s="36"/>
      <c r="K97" s="8" t="str">
        <f>IFERROR(__xludf.DUMMYFUNCTION("GOOGLETRANSLATE(J97)"),"#VALUE!")</f>
        <v>#VALUE!</v>
      </c>
      <c r="L97" s="19" t="s">
        <v>29</v>
      </c>
      <c r="M97" s="19" t="s">
        <v>29</v>
      </c>
      <c r="N97" s="20" t="s">
        <v>336</v>
      </c>
      <c r="O97" s="20" t="s">
        <v>336</v>
      </c>
      <c r="P97" s="21"/>
      <c r="Q97" s="22" t="s">
        <v>550</v>
      </c>
      <c r="R97" s="20" t="s">
        <v>25</v>
      </c>
      <c r="S97" s="20" t="s">
        <v>26</v>
      </c>
      <c r="T97" s="20" t="s">
        <v>551</v>
      </c>
      <c r="U97" s="20"/>
    </row>
    <row r="98">
      <c r="A98" s="37" t="s">
        <v>552</v>
      </c>
      <c r="B98" s="14" t="s">
        <v>553</v>
      </c>
      <c r="C98" s="38"/>
      <c r="D98" s="17"/>
      <c r="E98" s="17"/>
      <c r="F98" s="18"/>
      <c r="G98" s="18"/>
      <c r="H98" s="18"/>
      <c r="I98" s="18"/>
      <c r="J98" s="36"/>
      <c r="K98" s="8" t="str">
        <f>IFERROR(__xludf.DUMMYFUNCTION("GOOGLETRANSLATE(J98)"),"#VALUE!")</f>
        <v>#VALUE!</v>
      </c>
      <c r="L98" s="19">
        <v>206000.0</v>
      </c>
      <c r="M98" s="19" t="s">
        <v>29</v>
      </c>
      <c r="N98" s="20" t="s">
        <v>554</v>
      </c>
      <c r="O98" s="20" t="s">
        <v>554</v>
      </c>
      <c r="P98" s="21"/>
      <c r="Q98" s="22" t="s">
        <v>555</v>
      </c>
      <c r="R98" s="20" t="s">
        <v>25</v>
      </c>
      <c r="S98" s="20" t="s">
        <v>26</v>
      </c>
      <c r="T98" s="20" t="s">
        <v>123</v>
      </c>
      <c r="U98" s="20"/>
    </row>
    <row r="99">
      <c r="A99" s="37" t="s">
        <v>556</v>
      </c>
      <c r="B99" s="14" t="s">
        <v>557</v>
      </c>
      <c r="C99" s="66" t="s">
        <v>558</v>
      </c>
      <c r="D99" s="17" t="s">
        <v>559</v>
      </c>
      <c r="E99" s="17"/>
      <c r="F99" s="18"/>
      <c r="G99" s="18"/>
      <c r="H99" s="18"/>
      <c r="I99" s="18"/>
      <c r="J99" s="36"/>
      <c r="K99" s="8" t="str">
        <f>IFERROR(__xludf.DUMMYFUNCTION("GOOGLETRANSLATE(J99)"),"#VALUE!")</f>
        <v>#VALUE!</v>
      </c>
      <c r="L99" s="19" t="s">
        <v>29</v>
      </c>
      <c r="M99" s="19">
        <v>2218.0</v>
      </c>
      <c r="N99" s="20" t="s">
        <v>560</v>
      </c>
      <c r="O99" s="20" t="s">
        <v>560</v>
      </c>
      <c r="P99" s="21"/>
      <c r="Q99" s="22" t="s">
        <v>561</v>
      </c>
      <c r="R99" s="20" t="s">
        <v>25</v>
      </c>
      <c r="S99" s="20" t="s">
        <v>26</v>
      </c>
      <c r="T99" s="20" t="s">
        <v>562</v>
      </c>
      <c r="U99" s="20"/>
    </row>
    <row r="100">
      <c r="A100" s="37" t="s">
        <v>563</v>
      </c>
      <c r="B100" s="14" t="s">
        <v>564</v>
      </c>
      <c r="C100" s="39"/>
      <c r="D100" s="17"/>
      <c r="E100" s="17"/>
      <c r="F100" s="18"/>
      <c r="G100" s="18"/>
      <c r="H100" s="18"/>
      <c r="I100" s="18"/>
      <c r="J100" s="8" t="s">
        <v>565</v>
      </c>
      <c r="K100" s="8" t="str">
        <f>IFERROR(__xludf.DUMMYFUNCTION("GOOGLETRANSLATE(J100)"),"Video copyright contract completed")</f>
        <v>Video copyright contract completed</v>
      </c>
      <c r="L100" s="19">
        <v>19000.0</v>
      </c>
      <c r="M100" s="19" t="s">
        <v>29</v>
      </c>
      <c r="N100" s="20" t="s">
        <v>566</v>
      </c>
      <c r="O100" s="20" t="s">
        <v>566</v>
      </c>
      <c r="P100" s="21"/>
      <c r="Q100" s="22" t="s">
        <v>567</v>
      </c>
      <c r="R100" s="20" t="s">
        <v>25</v>
      </c>
      <c r="S100" s="20" t="s">
        <v>26</v>
      </c>
      <c r="T100" s="20" t="s">
        <v>568</v>
      </c>
      <c r="U100" s="20"/>
    </row>
    <row r="101">
      <c r="A101" s="37" t="s">
        <v>569</v>
      </c>
      <c r="B101" s="14" t="s">
        <v>570</v>
      </c>
      <c r="C101" s="39"/>
      <c r="D101" s="17"/>
      <c r="E101" s="17"/>
      <c r="F101" s="18"/>
      <c r="G101" s="18"/>
      <c r="H101" s="18"/>
      <c r="I101" s="18"/>
      <c r="J101" s="36"/>
      <c r="K101" s="8" t="str">
        <f>IFERROR(__xludf.DUMMYFUNCTION("GOOGLETRANSLATE(J101)"),"#VALUE!")</f>
        <v>#VALUE!</v>
      </c>
      <c r="L101" s="19">
        <v>322000.0</v>
      </c>
      <c r="M101" s="19" t="s">
        <v>29</v>
      </c>
      <c r="N101" s="20" t="s">
        <v>571</v>
      </c>
      <c r="O101" s="20" t="s">
        <v>571</v>
      </c>
      <c r="P101" s="21"/>
      <c r="Q101" s="22" t="s">
        <v>572</v>
      </c>
      <c r="R101" s="20" t="s">
        <v>25</v>
      </c>
      <c r="S101" s="20" t="s">
        <v>26</v>
      </c>
      <c r="T101" s="20" t="s">
        <v>573</v>
      </c>
      <c r="U101" s="20"/>
    </row>
    <row r="102">
      <c r="A102" s="37" t="s">
        <v>574</v>
      </c>
      <c r="B102" s="14" t="s">
        <v>575</v>
      </c>
      <c r="C102" s="66" t="s">
        <v>527</v>
      </c>
      <c r="D102" s="17" t="s">
        <v>528</v>
      </c>
      <c r="E102" s="17"/>
      <c r="F102" s="18"/>
      <c r="G102" s="18"/>
      <c r="H102" s="18"/>
      <c r="I102" s="18"/>
      <c r="J102" s="36"/>
      <c r="K102" s="8" t="str">
        <f>IFERROR(__xludf.DUMMYFUNCTION("GOOGLETRANSLATE(J102)"),"#VALUE!")</f>
        <v>#VALUE!</v>
      </c>
      <c r="L102" s="19">
        <v>67000.0</v>
      </c>
      <c r="M102" s="19">
        <v>1648.0</v>
      </c>
      <c r="N102" s="20" t="s">
        <v>576</v>
      </c>
      <c r="O102" s="20" t="s">
        <v>577</v>
      </c>
      <c r="P102" s="21"/>
      <c r="Q102" s="22" t="s">
        <v>578</v>
      </c>
      <c r="R102" s="20" t="s">
        <v>25</v>
      </c>
      <c r="S102" s="20" t="s">
        <v>348</v>
      </c>
      <c r="T102" s="20" t="s">
        <v>579</v>
      </c>
      <c r="U102" s="20"/>
    </row>
    <row r="103">
      <c r="A103" s="37" t="s">
        <v>580</v>
      </c>
      <c r="B103" s="23" t="s">
        <v>29</v>
      </c>
      <c r="C103" s="39"/>
      <c r="D103" s="17"/>
      <c r="E103" s="17"/>
      <c r="F103" s="18"/>
      <c r="G103" s="18"/>
      <c r="H103" s="18"/>
      <c r="I103" s="18"/>
      <c r="J103" s="36"/>
      <c r="K103" s="8" t="str">
        <f>IFERROR(__xludf.DUMMYFUNCTION("GOOGLETRANSLATE(J103)"),"#VALUE!")</f>
        <v>#VALUE!</v>
      </c>
      <c r="L103" s="19" t="s">
        <v>29</v>
      </c>
      <c r="M103" s="19" t="s">
        <v>29</v>
      </c>
      <c r="N103" s="20" t="s">
        <v>581</v>
      </c>
      <c r="O103" s="20" t="s">
        <v>581</v>
      </c>
      <c r="P103" s="21"/>
      <c r="Q103" s="22" t="s">
        <v>582</v>
      </c>
      <c r="R103" s="20" t="s">
        <v>25</v>
      </c>
      <c r="S103" s="21"/>
      <c r="T103" s="20" t="s">
        <v>35</v>
      </c>
      <c r="U103" s="20"/>
    </row>
    <row r="104">
      <c r="A104" s="37" t="s">
        <v>583</v>
      </c>
      <c r="B104" s="32" t="s">
        <v>29</v>
      </c>
      <c r="C104" s="38"/>
      <c r="D104" s="17"/>
      <c r="E104" s="17"/>
      <c r="F104" s="18"/>
      <c r="G104" s="18"/>
      <c r="H104" s="18"/>
      <c r="I104" s="18"/>
      <c r="J104" s="36"/>
      <c r="K104" s="8" t="str">
        <f>IFERROR(__xludf.DUMMYFUNCTION("GOOGLETRANSLATE(J104)"),"#VALUE!")</f>
        <v>#VALUE!</v>
      </c>
      <c r="L104" s="19" t="s">
        <v>29</v>
      </c>
      <c r="M104" s="19" t="s">
        <v>29</v>
      </c>
      <c r="N104" s="20" t="s">
        <v>584</v>
      </c>
      <c r="O104" s="20" t="s">
        <v>584</v>
      </c>
      <c r="P104" s="21"/>
      <c r="Q104" s="22" t="s">
        <v>585</v>
      </c>
      <c r="R104" s="20" t="s">
        <v>25</v>
      </c>
      <c r="S104" s="20" t="s">
        <v>348</v>
      </c>
      <c r="T104" s="20" t="s">
        <v>462</v>
      </c>
      <c r="U104" s="20"/>
    </row>
    <row r="105">
      <c r="A105" s="37" t="s">
        <v>586</v>
      </c>
      <c r="B105" s="14" t="s">
        <v>587</v>
      </c>
      <c r="C105" s="39"/>
      <c r="D105" s="17"/>
      <c r="E105" s="17"/>
      <c r="F105" s="18"/>
      <c r="G105" s="18"/>
      <c r="H105" s="18"/>
      <c r="I105" s="18"/>
      <c r="J105" s="36"/>
      <c r="K105" s="8" t="str">
        <f>IFERROR(__xludf.DUMMYFUNCTION("GOOGLETRANSLATE(J105)"),"#VALUE!")</f>
        <v>#VALUE!</v>
      </c>
      <c r="L105" s="19">
        <v>1160.0</v>
      </c>
      <c r="M105" s="19" t="s">
        <v>29</v>
      </c>
      <c r="N105" s="20" t="s">
        <v>588</v>
      </c>
      <c r="O105" s="20" t="s">
        <v>589</v>
      </c>
      <c r="P105" s="21"/>
      <c r="Q105" s="22" t="s">
        <v>590</v>
      </c>
      <c r="R105" s="20" t="s">
        <v>25</v>
      </c>
      <c r="S105" s="20" t="s">
        <v>26</v>
      </c>
      <c r="T105" s="20" t="s">
        <v>378</v>
      </c>
      <c r="U105" s="20"/>
    </row>
    <row r="106">
      <c r="A106" s="37" t="s">
        <v>591</v>
      </c>
      <c r="B106" s="14" t="s">
        <v>592</v>
      </c>
      <c r="C106" s="38"/>
      <c r="D106" s="17"/>
      <c r="E106" s="17"/>
      <c r="F106" s="18" t="s">
        <v>235</v>
      </c>
      <c r="G106" s="18"/>
      <c r="H106" s="18"/>
      <c r="I106" s="18"/>
      <c r="J106" s="8" t="s">
        <v>173</v>
      </c>
      <c r="K106" s="8" t="str">
        <f>IFERROR(__xludf.DUMMYFUNCTION("GOOGLETRANSLATE(J106)"),"Serialized in China and Japan")</f>
        <v>Serialized in China and Japan</v>
      </c>
      <c r="L106" s="19">
        <v>4538000.0</v>
      </c>
      <c r="M106" s="19" t="s">
        <v>29</v>
      </c>
      <c r="N106" s="20" t="s">
        <v>593</v>
      </c>
      <c r="O106" s="20" t="s">
        <v>141</v>
      </c>
      <c r="P106" s="21"/>
      <c r="Q106" s="22" t="s">
        <v>594</v>
      </c>
      <c r="R106" s="20" t="s">
        <v>25</v>
      </c>
      <c r="S106" s="20" t="s">
        <v>51</v>
      </c>
      <c r="T106" s="20" t="s">
        <v>75</v>
      </c>
      <c r="U106" s="20"/>
    </row>
    <row r="107">
      <c r="A107" s="37" t="s">
        <v>595</v>
      </c>
      <c r="B107" s="14" t="s">
        <v>596</v>
      </c>
      <c r="C107" s="39"/>
      <c r="D107" s="17"/>
      <c r="E107" s="17"/>
      <c r="F107" s="18"/>
      <c r="G107" s="18"/>
      <c r="H107" s="18"/>
      <c r="I107" s="18"/>
      <c r="J107" s="8" t="s">
        <v>597</v>
      </c>
      <c r="K107" s="8" t="str">
        <f>IFERROR(__xludf.DUMMYFUNCTION("GOOGLETRANSLATE(J107)"),"Kakao Page subscribers: 221,000")</f>
        <v>Kakao Page subscribers: 221,000</v>
      </c>
      <c r="L107" s="19">
        <v>1877000.0</v>
      </c>
      <c r="M107" s="19" t="s">
        <v>29</v>
      </c>
      <c r="N107" s="20" t="s">
        <v>598</v>
      </c>
      <c r="O107" s="20" t="s">
        <v>82</v>
      </c>
      <c r="P107" s="21"/>
      <c r="Q107" s="22" t="s">
        <v>599</v>
      </c>
      <c r="R107" s="20" t="s">
        <v>25</v>
      </c>
      <c r="S107" s="20" t="s">
        <v>26</v>
      </c>
      <c r="T107" s="20" t="s">
        <v>600</v>
      </c>
      <c r="U107" s="20"/>
    </row>
    <row r="108">
      <c r="A108" s="37" t="s">
        <v>601</v>
      </c>
      <c r="B108" s="23" t="s">
        <v>29</v>
      </c>
      <c r="C108" s="39"/>
      <c r="D108" s="17"/>
      <c r="E108" s="17"/>
      <c r="F108" s="18"/>
      <c r="G108" s="18"/>
      <c r="H108" s="18"/>
      <c r="I108" s="18"/>
      <c r="J108" s="36"/>
      <c r="K108" s="8" t="str">
        <f>IFERROR(__xludf.DUMMYFUNCTION("GOOGLETRANSLATE(J108)"),"#VALUE!")</f>
        <v>#VALUE!</v>
      </c>
      <c r="L108" s="19" t="s">
        <v>29</v>
      </c>
      <c r="M108" s="19" t="s">
        <v>29</v>
      </c>
      <c r="N108" s="20" t="s">
        <v>602</v>
      </c>
      <c r="O108" s="20" t="s">
        <v>602</v>
      </c>
      <c r="P108" s="21"/>
      <c r="Q108" s="22" t="s">
        <v>603</v>
      </c>
      <c r="R108" s="20" t="s">
        <v>25</v>
      </c>
      <c r="S108" s="20" t="s">
        <v>26</v>
      </c>
      <c r="T108" s="20" t="s">
        <v>604</v>
      </c>
      <c r="U108" s="20"/>
    </row>
    <row r="109">
      <c r="A109" s="37" t="s">
        <v>605</v>
      </c>
      <c r="B109" s="14" t="s">
        <v>606</v>
      </c>
      <c r="C109" s="38"/>
      <c r="D109" s="17"/>
      <c r="E109" s="17"/>
      <c r="F109" s="18"/>
      <c r="G109" s="18"/>
      <c r="H109" s="18"/>
      <c r="I109" s="18"/>
      <c r="J109" s="36"/>
      <c r="K109" s="8" t="str">
        <f>IFERROR(__xludf.DUMMYFUNCTION("GOOGLETRANSLATE(J109)"),"#VALUE!")</f>
        <v>#VALUE!</v>
      </c>
      <c r="L109" s="19" t="s">
        <v>29</v>
      </c>
      <c r="M109" s="19">
        <v>531566.0</v>
      </c>
      <c r="N109" s="20" t="s">
        <v>336</v>
      </c>
      <c r="O109" s="20" t="s">
        <v>336</v>
      </c>
      <c r="P109" s="21"/>
      <c r="Q109" s="22" t="s">
        <v>607</v>
      </c>
      <c r="R109" s="20" t="s">
        <v>25</v>
      </c>
      <c r="S109" s="20" t="s">
        <v>26</v>
      </c>
      <c r="T109" s="20" t="s">
        <v>608</v>
      </c>
      <c r="U109" s="20"/>
    </row>
    <row r="110">
      <c r="A110" s="37" t="s">
        <v>609</v>
      </c>
      <c r="B110" s="14" t="s">
        <v>610</v>
      </c>
      <c r="C110" s="39"/>
      <c r="D110" s="17"/>
      <c r="E110" s="17"/>
      <c r="F110" s="18"/>
      <c r="G110" s="18"/>
      <c r="H110" s="18"/>
      <c r="I110" s="18"/>
      <c r="J110" s="36"/>
      <c r="K110" s="8" t="str">
        <f>IFERROR(__xludf.DUMMYFUNCTION("GOOGLETRANSLATE(J110)"),"#VALUE!")</f>
        <v>#VALUE!</v>
      </c>
      <c r="L110" s="19">
        <v>17000.0</v>
      </c>
      <c r="M110" s="19" t="s">
        <v>29</v>
      </c>
      <c r="N110" s="20" t="s">
        <v>611</v>
      </c>
      <c r="O110" s="20" t="s">
        <v>611</v>
      </c>
      <c r="P110" s="21"/>
      <c r="Q110" s="22" t="s">
        <v>612</v>
      </c>
      <c r="R110" s="20" t="s">
        <v>25</v>
      </c>
      <c r="S110" s="20" t="s">
        <v>26</v>
      </c>
      <c r="T110" s="20" t="s">
        <v>613</v>
      </c>
      <c r="U110" s="20"/>
    </row>
    <row r="111">
      <c r="A111" s="37" t="s">
        <v>614</v>
      </c>
      <c r="B111" s="14" t="s">
        <v>615</v>
      </c>
      <c r="C111" s="39"/>
      <c r="D111" s="17"/>
      <c r="E111" s="17"/>
      <c r="F111" s="18"/>
      <c r="G111" s="18"/>
      <c r="H111" s="18"/>
      <c r="I111" s="18"/>
      <c r="J111" s="36"/>
      <c r="K111" s="8" t="str">
        <f>IFERROR(__xludf.DUMMYFUNCTION("GOOGLETRANSLATE(J111)"),"#VALUE!")</f>
        <v>#VALUE!</v>
      </c>
      <c r="L111" s="19">
        <v>15000.0</v>
      </c>
      <c r="M111" s="19">
        <v>99.0</v>
      </c>
      <c r="N111" s="20" t="s">
        <v>616</v>
      </c>
      <c r="O111" s="20" t="s">
        <v>617</v>
      </c>
      <c r="P111" s="21"/>
      <c r="Q111" s="22" t="s">
        <v>618</v>
      </c>
      <c r="R111" s="20" t="s">
        <v>25</v>
      </c>
      <c r="S111" s="20" t="s">
        <v>225</v>
      </c>
      <c r="T111" s="20" t="s">
        <v>619</v>
      </c>
      <c r="U111" s="20"/>
    </row>
    <row r="112">
      <c r="A112" s="37" t="s">
        <v>620</v>
      </c>
      <c r="B112" s="14" t="s">
        <v>621</v>
      </c>
      <c r="C112" s="39"/>
      <c r="D112" s="17"/>
      <c r="E112" s="17"/>
      <c r="F112" s="18"/>
      <c r="G112" s="18"/>
      <c r="H112" s="18"/>
      <c r="I112" s="18"/>
      <c r="J112" s="36"/>
      <c r="K112" s="8" t="str">
        <f>IFERROR(__xludf.DUMMYFUNCTION("GOOGLETRANSLATE(J112)"),"#VALUE!")</f>
        <v>#VALUE!</v>
      </c>
      <c r="L112" s="19" t="s">
        <v>29</v>
      </c>
      <c r="M112" s="19" t="s">
        <v>29</v>
      </c>
      <c r="N112" s="20" t="s">
        <v>622</v>
      </c>
      <c r="O112" s="20" t="s">
        <v>622</v>
      </c>
      <c r="P112" s="21"/>
      <c r="Q112" s="22" t="s">
        <v>623</v>
      </c>
      <c r="R112" s="20" t="s">
        <v>25</v>
      </c>
      <c r="S112" s="20" t="s">
        <v>348</v>
      </c>
      <c r="T112" s="20" t="s">
        <v>429</v>
      </c>
      <c r="U112" s="20"/>
    </row>
    <row r="113">
      <c r="A113" s="37" t="s">
        <v>624</v>
      </c>
      <c r="B113" s="14" t="s">
        <v>625</v>
      </c>
      <c r="C113" s="39"/>
      <c r="D113" s="17"/>
      <c r="E113" s="17"/>
      <c r="F113" s="18"/>
      <c r="G113" s="18"/>
      <c r="H113" s="18"/>
      <c r="I113" s="18"/>
      <c r="J113" s="8" t="s">
        <v>626</v>
      </c>
      <c r="K113" s="8" t="str">
        <f>IFERROR(__xludf.DUMMYFUNCTION("GOOGLETRANSLATE(J113)"),"26.67 million+ subscribers")</f>
        <v>26.67 million+ subscribers</v>
      </c>
      <c r="L113" s="19" t="s">
        <v>29</v>
      </c>
      <c r="M113" s="19" t="s">
        <v>29</v>
      </c>
      <c r="N113" s="20" t="s">
        <v>518</v>
      </c>
      <c r="O113" s="20" t="s">
        <v>450</v>
      </c>
      <c r="P113" s="21"/>
      <c r="Q113" s="22" t="s">
        <v>627</v>
      </c>
      <c r="R113" s="20" t="s">
        <v>25</v>
      </c>
      <c r="S113" s="20" t="s">
        <v>348</v>
      </c>
      <c r="T113" s="20" t="s">
        <v>628</v>
      </c>
      <c r="U113" s="20"/>
    </row>
    <row r="114">
      <c r="A114" s="37" t="s">
        <v>629</v>
      </c>
      <c r="B114" s="14" t="s">
        <v>630</v>
      </c>
      <c r="C114" s="66" t="s">
        <v>527</v>
      </c>
      <c r="D114" s="17" t="s">
        <v>528</v>
      </c>
      <c r="E114" s="17"/>
      <c r="F114" s="18"/>
      <c r="G114" s="18"/>
      <c r="H114" s="18"/>
      <c r="I114" s="18"/>
      <c r="J114" s="36"/>
      <c r="K114" s="8" t="str">
        <f>IFERROR(__xludf.DUMMYFUNCTION("GOOGLETRANSLATE(J114)"),"#VALUE!")</f>
        <v>#VALUE!</v>
      </c>
      <c r="L114" s="19">
        <v>13000.0</v>
      </c>
      <c r="M114" s="19">
        <v>149.0</v>
      </c>
      <c r="N114" s="20" t="s">
        <v>631</v>
      </c>
      <c r="O114" s="20" t="s">
        <v>632</v>
      </c>
      <c r="P114" s="21"/>
      <c r="Q114" s="22" t="s">
        <v>633</v>
      </c>
      <c r="R114" s="20" t="s">
        <v>25</v>
      </c>
      <c r="S114" s="20" t="s">
        <v>26</v>
      </c>
      <c r="T114" s="20" t="s">
        <v>568</v>
      </c>
      <c r="U114" s="20"/>
    </row>
    <row r="115">
      <c r="A115" s="37" t="s">
        <v>634</v>
      </c>
      <c r="B115" s="14" t="s">
        <v>635</v>
      </c>
      <c r="C115" s="39"/>
      <c r="D115" s="17"/>
      <c r="E115" s="17"/>
      <c r="F115" s="18"/>
      <c r="G115" s="18"/>
      <c r="H115" s="18"/>
      <c r="I115" s="18"/>
      <c r="J115" s="36"/>
      <c r="K115" s="8" t="str">
        <f>IFERROR(__xludf.DUMMYFUNCTION("GOOGLETRANSLATE(J115)"),"#VALUE!")</f>
        <v>#VALUE!</v>
      </c>
      <c r="L115" s="19" t="s">
        <v>29</v>
      </c>
      <c r="M115" s="19">
        <v>872.0</v>
      </c>
      <c r="N115" s="20" t="s">
        <v>636</v>
      </c>
      <c r="O115" s="20" t="s">
        <v>636</v>
      </c>
      <c r="P115" s="21"/>
      <c r="Q115" s="22" t="s">
        <v>637</v>
      </c>
      <c r="R115" s="20" t="s">
        <v>25</v>
      </c>
      <c r="S115" s="20" t="s">
        <v>348</v>
      </c>
      <c r="T115" s="20" t="s">
        <v>429</v>
      </c>
      <c r="U115" s="20"/>
    </row>
    <row r="116">
      <c r="A116" s="37" t="s">
        <v>638</v>
      </c>
      <c r="B116" s="14" t="s">
        <v>639</v>
      </c>
      <c r="C116" s="66" t="s">
        <v>424</v>
      </c>
      <c r="D116" s="17" t="s">
        <v>425</v>
      </c>
      <c r="E116" s="17"/>
      <c r="F116" s="18"/>
      <c r="G116" s="18"/>
      <c r="H116" s="18"/>
      <c r="I116" s="18"/>
      <c r="J116" s="36"/>
      <c r="K116" s="8" t="str">
        <f>IFERROR(__xludf.DUMMYFUNCTION("GOOGLETRANSLATE(J116)"),"#VALUE!")</f>
        <v>#VALUE!</v>
      </c>
      <c r="L116" s="76"/>
      <c r="M116" s="76"/>
      <c r="N116" s="20" t="s">
        <v>640</v>
      </c>
      <c r="O116" s="20" t="s">
        <v>641</v>
      </c>
      <c r="P116" s="21"/>
      <c r="Q116" s="22" t="s">
        <v>642</v>
      </c>
      <c r="R116" s="20" t="s">
        <v>136</v>
      </c>
      <c r="S116" s="20" t="s">
        <v>348</v>
      </c>
      <c r="T116" s="20" t="s">
        <v>429</v>
      </c>
      <c r="U116" s="20"/>
    </row>
    <row r="117">
      <c r="A117" s="37" t="s">
        <v>643</v>
      </c>
      <c r="B117" s="14" t="s">
        <v>644</v>
      </c>
      <c r="C117" s="66" t="s">
        <v>424</v>
      </c>
      <c r="D117" s="17" t="s">
        <v>425</v>
      </c>
      <c r="E117" s="17"/>
      <c r="F117" s="18"/>
      <c r="G117" s="18"/>
      <c r="H117" s="18"/>
      <c r="I117" s="18"/>
      <c r="J117" s="36"/>
      <c r="K117" s="8" t="str">
        <f>IFERROR(__xludf.DUMMYFUNCTION("GOOGLETRANSLATE(J117)"),"#VALUE!")</f>
        <v>#VALUE!</v>
      </c>
      <c r="L117" s="76"/>
      <c r="M117" s="19">
        <v>9983.0</v>
      </c>
      <c r="N117" s="20" t="s">
        <v>645</v>
      </c>
      <c r="O117" s="20" t="s">
        <v>645</v>
      </c>
      <c r="P117" s="21"/>
      <c r="Q117" s="22" t="s">
        <v>646</v>
      </c>
      <c r="R117" s="20" t="s">
        <v>136</v>
      </c>
      <c r="S117" s="20" t="s">
        <v>647</v>
      </c>
      <c r="T117" s="20" t="s">
        <v>648</v>
      </c>
      <c r="U117" s="20"/>
    </row>
    <row r="118">
      <c r="A118" s="37" t="s">
        <v>649</v>
      </c>
      <c r="B118" s="23" t="s">
        <v>29</v>
      </c>
      <c r="C118" s="39"/>
      <c r="D118" s="17"/>
      <c r="E118" s="17"/>
      <c r="F118" s="18"/>
      <c r="G118" s="18"/>
      <c r="H118" s="18"/>
      <c r="I118" s="18"/>
      <c r="J118" s="36"/>
      <c r="K118" s="8" t="str">
        <f>IFERROR(__xludf.DUMMYFUNCTION("GOOGLETRANSLATE(J118)"),"#VALUE!")</f>
        <v>#VALUE!</v>
      </c>
      <c r="L118" s="19" t="s">
        <v>29</v>
      </c>
      <c r="M118" s="19" t="s">
        <v>29</v>
      </c>
      <c r="N118" s="20" t="s">
        <v>650</v>
      </c>
      <c r="O118" s="20" t="s">
        <v>651</v>
      </c>
      <c r="P118" s="21"/>
      <c r="Q118" s="22" t="s">
        <v>652</v>
      </c>
      <c r="R118" s="20" t="s">
        <v>25</v>
      </c>
      <c r="S118" s="20" t="s">
        <v>26</v>
      </c>
      <c r="T118" s="20" t="s">
        <v>378</v>
      </c>
      <c r="U118" s="20"/>
    </row>
    <row r="119">
      <c r="A119" s="37" t="s">
        <v>653</v>
      </c>
      <c r="B119" s="14" t="s">
        <v>654</v>
      </c>
      <c r="C119" s="38"/>
      <c r="D119" s="17"/>
      <c r="E119" s="17"/>
      <c r="F119" s="18"/>
      <c r="G119" s="18"/>
      <c r="H119" s="18"/>
      <c r="I119" s="18"/>
      <c r="J119" s="36"/>
      <c r="K119" s="8" t="str">
        <f>IFERROR(__xludf.DUMMYFUNCTION("GOOGLETRANSLATE(J119)"),"#VALUE!")</f>
        <v>#VALUE!</v>
      </c>
      <c r="L119" s="19">
        <v>41000.0</v>
      </c>
      <c r="M119" s="19">
        <v>99.0</v>
      </c>
      <c r="N119" s="20" t="s">
        <v>655</v>
      </c>
      <c r="O119" s="20" t="s">
        <v>656</v>
      </c>
      <c r="P119" s="21"/>
      <c r="Q119" s="22" t="s">
        <v>657</v>
      </c>
      <c r="R119" s="20" t="s">
        <v>136</v>
      </c>
      <c r="S119" s="20" t="s">
        <v>51</v>
      </c>
      <c r="T119" s="20" t="s">
        <v>600</v>
      </c>
      <c r="U119" s="20"/>
    </row>
    <row r="120">
      <c r="A120" s="37" t="s">
        <v>658</v>
      </c>
      <c r="B120" s="14" t="s">
        <v>659</v>
      </c>
      <c r="C120" s="39"/>
      <c r="D120" s="17"/>
      <c r="E120" s="17"/>
      <c r="F120" s="18"/>
      <c r="G120" s="18"/>
      <c r="H120" s="18"/>
      <c r="I120" s="18"/>
      <c r="J120" s="8" t="s">
        <v>660</v>
      </c>
      <c r="K120" s="8" t="str">
        <f>IFERROR(__xludf.DUMMYFUNCTION("GOOGLETRANSLATE(J120)"),"Kakao Page Season 4 Serialization
Kakao Page Subscribers: 650,000
Pikicast Pikitoon Signature Character")</f>
        <v>Kakao Page Season 4 Serialization
Kakao Page Subscribers: 650,000
Pikicast Pikitoon Signature Character</v>
      </c>
      <c r="L120" s="19">
        <v>9924000.0</v>
      </c>
      <c r="M120" s="19" t="s">
        <v>29</v>
      </c>
      <c r="N120" s="20" t="s">
        <v>661</v>
      </c>
      <c r="O120" s="20" t="s">
        <v>661</v>
      </c>
      <c r="P120" s="21"/>
      <c r="Q120" s="22" t="s">
        <v>662</v>
      </c>
      <c r="R120" s="20" t="s">
        <v>25</v>
      </c>
      <c r="S120" s="20" t="s">
        <v>26</v>
      </c>
      <c r="T120" s="20" t="s">
        <v>663</v>
      </c>
      <c r="U120" s="20"/>
    </row>
    <row r="121">
      <c r="A121" s="37" t="s">
        <v>664</v>
      </c>
      <c r="B121" s="14" t="s">
        <v>665</v>
      </c>
      <c r="C121" s="39"/>
      <c r="D121" s="17"/>
      <c r="E121" s="17"/>
      <c r="F121" s="18" t="s">
        <v>235</v>
      </c>
      <c r="G121" s="18" t="s">
        <v>235</v>
      </c>
      <c r="H121" s="18" t="s">
        <v>235</v>
      </c>
      <c r="I121" s="18" t="s">
        <v>235</v>
      </c>
      <c r="J121" s="8" t="s">
        <v>666</v>
      </c>
      <c r="K121" s="8" t="str">
        <f>IFERROR(__xludf.DUMMYFUNCTION("GOOGLETRANSLATE(J121)"),"CJ ENM's ""Fabricated City"" movie adaptation confirmed for 2024")</f>
        <v>CJ ENM's "Fabricated City" movie adaptation confirmed for 2024</v>
      </c>
      <c r="L121" s="19">
        <v>409000.0</v>
      </c>
      <c r="M121" s="19" t="s">
        <v>29</v>
      </c>
      <c r="N121" s="20" t="s">
        <v>133</v>
      </c>
      <c r="O121" s="20" t="s">
        <v>141</v>
      </c>
      <c r="P121" s="21"/>
      <c r="Q121" s="22" t="s">
        <v>667</v>
      </c>
      <c r="R121" s="20" t="s">
        <v>25</v>
      </c>
      <c r="S121" s="20" t="s">
        <v>51</v>
      </c>
      <c r="T121" s="20" t="s">
        <v>668</v>
      </c>
      <c r="U121" s="20"/>
    </row>
    <row r="122">
      <c r="A122" s="37" t="s">
        <v>669</v>
      </c>
      <c r="B122" s="23" t="s">
        <v>29</v>
      </c>
      <c r="C122" s="39"/>
      <c r="D122" s="17"/>
      <c r="E122" s="17"/>
      <c r="F122" s="18"/>
      <c r="G122" s="18"/>
      <c r="H122" s="18"/>
      <c r="I122" s="18"/>
      <c r="J122" s="8" t="s">
        <v>126</v>
      </c>
      <c r="K122" s="8" t="str">
        <f>IFERROR(__xludf.DUMMYFUNCTION("GOOGLETRANSLATE(J122)"),"Japanese serialization")</f>
        <v>Japanese serialization</v>
      </c>
      <c r="L122" s="19" t="s">
        <v>29</v>
      </c>
      <c r="M122" s="19" t="s">
        <v>29</v>
      </c>
      <c r="N122" s="20" t="s">
        <v>670</v>
      </c>
      <c r="O122" s="20" t="s">
        <v>670</v>
      </c>
      <c r="P122" s="21"/>
      <c r="Q122" s="22" t="s">
        <v>671</v>
      </c>
      <c r="R122" s="20" t="s">
        <v>25</v>
      </c>
      <c r="S122" s="20" t="s">
        <v>26</v>
      </c>
      <c r="T122" s="20" t="s">
        <v>266</v>
      </c>
      <c r="U122" s="20"/>
    </row>
    <row r="123">
      <c r="A123" s="37" t="s">
        <v>672</v>
      </c>
      <c r="B123" s="23" t="s">
        <v>29</v>
      </c>
      <c r="C123" s="38"/>
      <c r="D123" s="17"/>
      <c r="E123" s="17"/>
      <c r="F123" s="18"/>
      <c r="G123" s="18"/>
      <c r="H123" s="18"/>
      <c r="I123" s="18"/>
      <c r="J123" s="8" t="s">
        <v>126</v>
      </c>
      <c r="K123" s="8" t="str">
        <f>IFERROR(__xludf.DUMMYFUNCTION("GOOGLETRANSLATE(J123)"),"Japanese serialization")</f>
        <v>Japanese serialization</v>
      </c>
      <c r="L123" s="19" t="s">
        <v>29</v>
      </c>
      <c r="M123" s="19" t="s">
        <v>29</v>
      </c>
      <c r="N123" s="20" t="s">
        <v>673</v>
      </c>
      <c r="O123" s="20" t="s">
        <v>673</v>
      </c>
      <c r="P123" s="21"/>
      <c r="Q123" s="22" t="s">
        <v>674</v>
      </c>
      <c r="R123" s="20" t="s">
        <v>25</v>
      </c>
      <c r="S123" s="20" t="s">
        <v>26</v>
      </c>
      <c r="T123" s="20" t="s">
        <v>608</v>
      </c>
      <c r="U123" s="20"/>
    </row>
    <row r="124">
      <c r="A124" s="37" t="s">
        <v>675</v>
      </c>
      <c r="B124" s="14" t="s">
        <v>676</v>
      </c>
      <c r="C124" s="38"/>
      <c r="D124" s="17"/>
      <c r="E124" s="17"/>
      <c r="F124" s="18"/>
      <c r="G124" s="18"/>
      <c r="H124" s="18"/>
      <c r="I124" s="18"/>
      <c r="J124" s="36"/>
      <c r="K124" s="8" t="str">
        <f>IFERROR(__xludf.DUMMYFUNCTION("GOOGLETRANSLATE(J124)"),"#VALUE!")</f>
        <v>#VALUE!</v>
      </c>
      <c r="L124" s="19" t="s">
        <v>29</v>
      </c>
      <c r="M124" s="19" t="s">
        <v>29</v>
      </c>
      <c r="N124" s="20" t="s">
        <v>677</v>
      </c>
      <c r="O124" s="20" t="s">
        <v>678</v>
      </c>
      <c r="P124" s="21"/>
      <c r="Q124" s="22" t="s">
        <v>679</v>
      </c>
      <c r="R124" s="20" t="s">
        <v>25</v>
      </c>
      <c r="S124" s="20" t="s">
        <v>26</v>
      </c>
      <c r="T124" s="20" t="s">
        <v>438</v>
      </c>
      <c r="U124" s="20"/>
    </row>
    <row r="125">
      <c r="A125" s="37" t="s">
        <v>680</v>
      </c>
      <c r="B125" s="14" t="s">
        <v>681</v>
      </c>
      <c r="C125" s="66" t="s">
        <v>424</v>
      </c>
      <c r="D125" s="17" t="s">
        <v>425</v>
      </c>
      <c r="E125" s="17"/>
      <c r="F125" s="18"/>
      <c r="G125" s="18"/>
      <c r="H125" s="18"/>
      <c r="I125" s="18"/>
      <c r="J125" s="36"/>
      <c r="K125" s="8" t="str">
        <f>IFERROR(__xludf.DUMMYFUNCTION("GOOGLETRANSLATE(J125)"),"#VALUE!")</f>
        <v>#VALUE!</v>
      </c>
      <c r="L125" s="19">
        <v>11000.0</v>
      </c>
      <c r="M125" s="19">
        <v>461.0</v>
      </c>
      <c r="N125" s="20" t="s">
        <v>682</v>
      </c>
      <c r="O125" s="20" t="s">
        <v>682</v>
      </c>
      <c r="P125" s="21"/>
      <c r="Q125" s="22" t="s">
        <v>683</v>
      </c>
      <c r="R125" s="20" t="s">
        <v>25</v>
      </c>
      <c r="S125" s="20" t="s">
        <v>348</v>
      </c>
      <c r="T125" s="20" t="s">
        <v>429</v>
      </c>
      <c r="U125" s="20"/>
    </row>
    <row r="126">
      <c r="A126" s="37" t="s">
        <v>684</v>
      </c>
      <c r="B126" s="14" t="s">
        <v>685</v>
      </c>
      <c r="C126" s="39"/>
      <c r="D126" s="17"/>
      <c r="E126" s="17"/>
      <c r="F126" s="18"/>
      <c r="G126" s="18"/>
      <c r="H126" s="18"/>
      <c r="I126" s="18"/>
      <c r="J126" s="36"/>
      <c r="K126" s="8" t="str">
        <f>IFERROR(__xludf.DUMMYFUNCTION("GOOGLETRANSLATE(J126)"),"#VALUE!")</f>
        <v>#VALUE!</v>
      </c>
      <c r="L126" s="19">
        <v>3891000.0</v>
      </c>
      <c r="M126" s="19" t="s">
        <v>29</v>
      </c>
      <c r="N126" s="20" t="s">
        <v>686</v>
      </c>
      <c r="O126" s="20" t="s">
        <v>686</v>
      </c>
      <c r="P126" s="21"/>
      <c r="Q126" s="22" t="s">
        <v>687</v>
      </c>
      <c r="R126" s="20" t="s">
        <v>25</v>
      </c>
      <c r="S126" s="20" t="s">
        <v>26</v>
      </c>
      <c r="T126" s="20" t="s">
        <v>688</v>
      </c>
      <c r="U126" s="20"/>
    </row>
    <row r="127">
      <c r="A127" s="37" t="s">
        <v>689</v>
      </c>
      <c r="B127" s="23" t="s">
        <v>29</v>
      </c>
      <c r="C127" s="39"/>
      <c r="D127" s="17"/>
      <c r="E127" s="17"/>
      <c r="F127" s="18"/>
      <c r="G127" s="18"/>
      <c r="H127" s="18"/>
      <c r="I127" s="18"/>
      <c r="J127" s="8" t="s">
        <v>341</v>
      </c>
      <c r="K127" s="8" t="str">
        <f>IFERROR(__xludf.DUMMYFUNCTION("GOOGLETRANSLATE(J127)"),"Serialized in North America and Japan")</f>
        <v>Serialized in North America and Japan</v>
      </c>
      <c r="L127" s="19" t="s">
        <v>29</v>
      </c>
      <c r="M127" s="19" t="s">
        <v>29</v>
      </c>
      <c r="N127" s="20" t="s">
        <v>690</v>
      </c>
      <c r="O127" s="20" t="s">
        <v>690</v>
      </c>
      <c r="P127" s="21"/>
      <c r="Q127" s="22" t="s">
        <v>691</v>
      </c>
      <c r="R127" s="20" t="s">
        <v>25</v>
      </c>
      <c r="S127" s="20" t="s">
        <v>26</v>
      </c>
      <c r="T127" s="20" t="s">
        <v>692</v>
      </c>
      <c r="U127" s="20"/>
    </row>
    <row r="128">
      <c r="A128" s="37" t="s">
        <v>693</v>
      </c>
      <c r="B128" s="14" t="s">
        <v>694</v>
      </c>
      <c r="C128" s="66" t="s">
        <v>424</v>
      </c>
      <c r="D128" s="17" t="s">
        <v>425</v>
      </c>
      <c r="E128" s="17"/>
      <c r="F128" s="18"/>
      <c r="G128" s="18"/>
      <c r="H128" s="18"/>
      <c r="I128" s="18"/>
      <c r="J128" s="36"/>
      <c r="K128" s="8" t="str">
        <f>IFERROR(__xludf.DUMMYFUNCTION("GOOGLETRANSLATE(J128)"),"#VALUE!")</f>
        <v>#VALUE!</v>
      </c>
      <c r="L128" s="19" t="s">
        <v>29</v>
      </c>
      <c r="M128" s="19">
        <v>17521.0</v>
      </c>
      <c r="N128" s="20" t="s">
        <v>695</v>
      </c>
      <c r="O128" s="20" t="s">
        <v>695</v>
      </c>
      <c r="P128" s="21"/>
      <c r="Q128" s="22" t="s">
        <v>696</v>
      </c>
      <c r="R128" s="20" t="s">
        <v>25</v>
      </c>
      <c r="S128" s="20" t="s">
        <v>26</v>
      </c>
      <c r="T128" s="20" t="s">
        <v>648</v>
      </c>
      <c r="U128" s="20"/>
    </row>
    <row r="129">
      <c r="A129" s="37" t="s">
        <v>697</v>
      </c>
      <c r="B129" s="23" t="s">
        <v>29</v>
      </c>
      <c r="C129" s="39"/>
      <c r="D129" s="17"/>
      <c r="E129" s="17"/>
      <c r="F129" s="18"/>
      <c r="G129" s="18"/>
      <c r="H129" s="18"/>
      <c r="I129" s="18"/>
      <c r="J129" s="8" t="s">
        <v>698</v>
      </c>
      <c r="K129" s="8" t="str">
        <f>IFERROR(__xludf.DUMMYFUNCTION("GOOGLETRANSLATE(J129)"),"- 90,000 Naver Series subscribers")</f>
        <v>- 90,000 Naver Series subscribers</v>
      </c>
      <c r="L129" s="19" t="s">
        <v>29</v>
      </c>
      <c r="M129" s="19" t="s">
        <v>29</v>
      </c>
      <c r="N129" s="20" t="s">
        <v>611</v>
      </c>
      <c r="O129" s="20" t="s">
        <v>611</v>
      </c>
      <c r="P129" s="21"/>
      <c r="Q129" s="22" t="s">
        <v>699</v>
      </c>
      <c r="R129" s="20" t="s">
        <v>25</v>
      </c>
      <c r="S129" s="20" t="s">
        <v>26</v>
      </c>
      <c r="T129" s="20" t="s">
        <v>700</v>
      </c>
      <c r="U129" s="20"/>
    </row>
    <row r="130">
      <c r="A130" s="37" t="s">
        <v>286</v>
      </c>
      <c r="B130" s="14" t="s">
        <v>701</v>
      </c>
      <c r="C130" s="39"/>
      <c r="D130" s="17"/>
      <c r="E130" s="17"/>
      <c r="F130" s="18" t="s">
        <v>235</v>
      </c>
      <c r="G130" s="18"/>
      <c r="H130" s="18"/>
      <c r="I130" s="18"/>
      <c r="J130" s="36"/>
      <c r="K130" s="8" t="str">
        <f>IFERROR(__xludf.DUMMYFUNCTION("GOOGLETRANSLATE(J130)"),"#VALUE!")</f>
        <v>#VALUE!</v>
      </c>
      <c r="L130" s="19">
        <v>1.2373E7</v>
      </c>
      <c r="M130" s="19" t="s">
        <v>29</v>
      </c>
      <c r="N130" s="20" t="s">
        <v>49</v>
      </c>
      <c r="O130" s="20" t="s">
        <v>49</v>
      </c>
      <c r="P130" s="21"/>
      <c r="Q130" s="22" t="s">
        <v>702</v>
      </c>
      <c r="R130" s="20" t="s">
        <v>25</v>
      </c>
      <c r="S130" s="20" t="s">
        <v>26</v>
      </c>
      <c r="T130" s="20" t="s">
        <v>703</v>
      </c>
      <c r="U130" s="20"/>
    </row>
    <row r="131">
      <c r="A131" s="37" t="s">
        <v>704</v>
      </c>
      <c r="B131" s="23" t="s">
        <v>29</v>
      </c>
      <c r="C131" s="39"/>
      <c r="D131" s="17"/>
      <c r="E131" s="17"/>
      <c r="F131" s="18"/>
      <c r="G131" s="18"/>
      <c r="H131" s="18"/>
      <c r="I131" s="18"/>
      <c r="J131" s="36"/>
      <c r="K131" s="8" t="str">
        <f>IFERROR(__xludf.DUMMYFUNCTION("GOOGLETRANSLATE(J131)"),"#VALUE!")</f>
        <v>#VALUE!</v>
      </c>
      <c r="L131" s="19" t="s">
        <v>29</v>
      </c>
      <c r="M131" s="19" t="s">
        <v>29</v>
      </c>
      <c r="N131" s="20" t="s">
        <v>705</v>
      </c>
      <c r="O131" s="20" t="s">
        <v>705</v>
      </c>
      <c r="P131" s="21"/>
      <c r="Q131" s="22" t="s">
        <v>706</v>
      </c>
      <c r="R131" s="20" t="s">
        <v>25</v>
      </c>
      <c r="S131" s="20" t="s">
        <v>26</v>
      </c>
      <c r="T131" s="20" t="s">
        <v>707</v>
      </c>
      <c r="U131" s="20"/>
    </row>
    <row r="132">
      <c r="A132" s="37" t="s">
        <v>708</v>
      </c>
      <c r="B132" s="14" t="s">
        <v>709</v>
      </c>
      <c r="C132" s="66" t="s">
        <v>527</v>
      </c>
      <c r="D132" s="17" t="s">
        <v>528</v>
      </c>
      <c r="E132" s="17"/>
      <c r="F132" s="18"/>
      <c r="G132" s="18"/>
      <c r="H132" s="18"/>
      <c r="I132" s="18"/>
      <c r="J132" s="8" t="s">
        <v>710</v>
      </c>
      <c r="K132" s="8" t="str">
        <f>IFERROR(__xludf.DUMMYFUNCTION("GOOGLETRANSLATE(J132)"),"BL")</f>
        <v>BL</v>
      </c>
      <c r="L132" s="19">
        <v>498000.0</v>
      </c>
      <c r="M132" s="19">
        <v>6125.0</v>
      </c>
      <c r="N132" s="20" t="s">
        <v>711</v>
      </c>
      <c r="O132" s="20" t="s">
        <v>712</v>
      </c>
      <c r="P132" s="21"/>
      <c r="Q132" s="22" t="s">
        <v>713</v>
      </c>
      <c r="R132" s="20" t="s">
        <v>25</v>
      </c>
      <c r="S132" s="20" t="s">
        <v>348</v>
      </c>
      <c r="T132" s="20" t="s">
        <v>714</v>
      </c>
      <c r="U132" s="20"/>
    </row>
    <row r="133">
      <c r="A133" s="37" t="s">
        <v>715</v>
      </c>
      <c r="B133" s="14" t="s">
        <v>716</v>
      </c>
      <c r="C133" s="39"/>
      <c r="D133" s="17"/>
      <c r="E133" s="17"/>
      <c r="F133" s="18"/>
      <c r="G133" s="18"/>
      <c r="H133" s="18"/>
      <c r="I133" s="18"/>
      <c r="J133" s="8" t="s">
        <v>29</v>
      </c>
      <c r="K133" s="8" t="str">
        <f>IFERROR(__xludf.DUMMYFUNCTION("GOOGLETRANSLATE(J133)"),"-")</f>
        <v>-</v>
      </c>
      <c r="L133" s="19">
        <v>1180000.0</v>
      </c>
      <c r="M133" s="19" t="s">
        <v>29</v>
      </c>
      <c r="N133" s="20" t="s">
        <v>116</v>
      </c>
      <c r="O133" s="20" t="s">
        <v>116</v>
      </c>
      <c r="P133" s="21"/>
      <c r="Q133" s="22" t="s">
        <v>717</v>
      </c>
      <c r="R133" s="20" t="s">
        <v>25</v>
      </c>
      <c r="S133" s="20" t="s">
        <v>26</v>
      </c>
      <c r="T133" s="20" t="s">
        <v>75</v>
      </c>
      <c r="U133" s="20"/>
    </row>
    <row r="134">
      <c r="A134" s="37" t="s">
        <v>718</v>
      </c>
      <c r="B134" s="14" t="s">
        <v>719</v>
      </c>
      <c r="C134" s="66" t="s">
        <v>424</v>
      </c>
      <c r="D134" s="17" t="s">
        <v>425</v>
      </c>
      <c r="E134" s="17"/>
      <c r="F134" s="18"/>
      <c r="G134" s="18"/>
      <c r="H134" s="18"/>
      <c r="I134" s="18"/>
      <c r="J134" s="8" t="s">
        <v>720</v>
      </c>
      <c r="K134" s="8" t="str">
        <f>IFERROR(__xludf.DUMMYFUNCTION("GOOGLETRANSLATE(J134)"),"Noble Comics, BL")</f>
        <v>Noble Comics, BL</v>
      </c>
      <c r="L134" s="19" t="s">
        <v>29</v>
      </c>
      <c r="M134" s="19">
        <v>6480.0</v>
      </c>
      <c r="N134" s="20" t="s">
        <v>721</v>
      </c>
      <c r="O134" s="20" t="s">
        <v>722</v>
      </c>
      <c r="P134" s="21"/>
      <c r="Q134" s="22" t="s">
        <v>723</v>
      </c>
      <c r="R134" s="20" t="s">
        <v>136</v>
      </c>
      <c r="S134" s="20" t="s">
        <v>348</v>
      </c>
      <c r="T134" s="20" t="s">
        <v>724</v>
      </c>
      <c r="U134" s="20"/>
    </row>
    <row r="135">
      <c r="A135" s="37" t="s">
        <v>725</v>
      </c>
      <c r="B135" s="14" t="s">
        <v>726</v>
      </c>
      <c r="C135" s="66" t="s">
        <v>727</v>
      </c>
      <c r="D135" s="17" t="s">
        <v>728</v>
      </c>
      <c r="E135" s="17"/>
      <c r="F135" s="18" t="s">
        <v>235</v>
      </c>
      <c r="G135" s="18" t="s">
        <v>235</v>
      </c>
      <c r="H135" s="18" t="s">
        <v>235</v>
      </c>
      <c r="I135" s="18" t="s">
        <v>235</v>
      </c>
      <c r="J135" s="8" t="s">
        <v>729</v>
      </c>
      <c r="K135" s="8" t="str">
        <f>IFERROR(__xludf.DUMMYFUNCTION("GOOGLETRANSLATE(J135)"),"Original novel + TVING drama broadcast")</f>
        <v>Original novel + TVING drama broadcast</v>
      </c>
      <c r="L135" s="19">
        <v>329000.0</v>
      </c>
      <c r="M135" s="19" t="s">
        <v>29</v>
      </c>
      <c r="N135" s="20" t="s">
        <v>730</v>
      </c>
      <c r="O135" s="20" t="s">
        <v>731</v>
      </c>
      <c r="P135" s="20" t="s">
        <v>732</v>
      </c>
      <c r="Q135" s="22" t="s">
        <v>733</v>
      </c>
      <c r="R135" s="20" t="s">
        <v>136</v>
      </c>
      <c r="S135" s="20" t="s">
        <v>26</v>
      </c>
      <c r="T135" s="20" t="s">
        <v>734</v>
      </c>
      <c r="U135" s="20"/>
    </row>
    <row r="136">
      <c r="A136" s="37" t="s">
        <v>735</v>
      </c>
      <c r="B136" s="25" t="s">
        <v>736</v>
      </c>
      <c r="C136" s="66" t="s">
        <v>737</v>
      </c>
      <c r="D136" s="17" t="s">
        <v>738</v>
      </c>
      <c r="E136" s="17"/>
      <c r="F136" s="18"/>
      <c r="G136" s="18"/>
      <c r="H136" s="18"/>
      <c r="I136" s="18"/>
      <c r="J136" s="8" t="s">
        <v>32</v>
      </c>
      <c r="K136" s="8" t="str">
        <f>IFERROR(__xludf.DUMMYFUNCTION("GOOGLETRANSLATE(J136)"),"North American serialization")</f>
        <v>North American serialization</v>
      </c>
      <c r="L136" s="19">
        <v>116000.0</v>
      </c>
      <c r="M136" s="19">
        <v>2724.0</v>
      </c>
      <c r="N136" s="20" t="s">
        <v>739</v>
      </c>
      <c r="O136" s="20" t="s">
        <v>739</v>
      </c>
      <c r="P136" s="21"/>
      <c r="Q136" s="22" t="s">
        <v>740</v>
      </c>
      <c r="R136" s="20" t="s">
        <v>136</v>
      </c>
      <c r="S136" s="20" t="s">
        <v>348</v>
      </c>
      <c r="T136" s="20" t="s">
        <v>741</v>
      </c>
      <c r="U136" s="20"/>
    </row>
    <row r="137">
      <c r="A137" s="37" t="s">
        <v>742</v>
      </c>
      <c r="B137" s="14" t="s">
        <v>743</v>
      </c>
      <c r="C137" s="66" t="s">
        <v>744</v>
      </c>
      <c r="D137" s="17" t="s">
        <v>745</v>
      </c>
      <c r="E137" s="17"/>
      <c r="F137" s="18"/>
      <c r="G137" s="18"/>
      <c r="H137" s="18"/>
      <c r="I137" s="18"/>
      <c r="J137" s="8" t="s">
        <v>29</v>
      </c>
      <c r="K137" s="8" t="str">
        <f>IFERROR(__xludf.DUMMYFUNCTION("GOOGLETRANSLATE(J137)"),"-")</f>
        <v>-</v>
      </c>
      <c r="L137" s="19" t="s">
        <v>29</v>
      </c>
      <c r="M137" s="19" t="s">
        <v>29</v>
      </c>
      <c r="N137" s="20" t="s">
        <v>746</v>
      </c>
      <c r="O137" s="20" t="s">
        <v>747</v>
      </c>
      <c r="P137" s="21"/>
      <c r="Q137" s="22" t="s">
        <v>748</v>
      </c>
      <c r="R137" s="20" t="s">
        <v>25</v>
      </c>
      <c r="S137" s="20" t="s">
        <v>749</v>
      </c>
      <c r="T137" s="20" t="s">
        <v>750</v>
      </c>
      <c r="U137" s="20"/>
    </row>
  </sheetData>
  <mergeCells count="1">
    <mergeCell ref="F1:I1"/>
  </mergeCells>
  <conditionalFormatting sqref="C1:C137">
    <cfRule type="notContainsBlanks" dxfId="0" priority="1">
      <formula>LEN(TRIM(C1))&gt;0</formula>
    </cfRule>
  </conditionalFormatting>
  <hyperlinks>
    <hyperlink r:id="rId2" ref="B2"/>
    <hyperlink r:id="rId3" ref="C2"/>
    <hyperlink r:id="rId4" ref="D2"/>
    <hyperlink r:id="rId5" ref="C3"/>
    <hyperlink r:id="rId6" ref="D3"/>
    <hyperlink r:id="rId7" ref="B4"/>
    <hyperlink r:id="rId8" ref="C4"/>
    <hyperlink r:id="rId9" ref="D4"/>
    <hyperlink r:id="rId10" ref="B5"/>
    <hyperlink r:id="rId11" ref="C5"/>
    <hyperlink r:id="rId12" ref="D5"/>
    <hyperlink r:id="rId13" ref="B6"/>
    <hyperlink r:id="rId14" ref="C6"/>
    <hyperlink r:id="rId15" ref="D6"/>
    <hyperlink r:id="rId16" ref="B7"/>
    <hyperlink r:id="rId17" ref="C7"/>
    <hyperlink r:id="rId18" ref="B8"/>
    <hyperlink r:id="rId19" ref="C8"/>
    <hyperlink r:id="rId20" ref="D8"/>
    <hyperlink r:id="rId21" ref="B9"/>
    <hyperlink r:id="rId22" ref="C9"/>
    <hyperlink r:id="rId23" ref="D9"/>
    <hyperlink r:id="rId24" ref="B10"/>
    <hyperlink r:id="rId25" ref="C10"/>
    <hyperlink r:id="rId26" ref="D10"/>
    <hyperlink r:id="rId27" ref="B11"/>
    <hyperlink r:id="rId28" ref="C11"/>
    <hyperlink r:id="rId29" ref="D11"/>
    <hyperlink r:id="rId30" ref="C12"/>
    <hyperlink r:id="rId31" ref="B13"/>
    <hyperlink r:id="rId32" ref="C13"/>
    <hyperlink r:id="rId33" ref="B14"/>
    <hyperlink r:id="rId34" ref="B16"/>
    <hyperlink r:id="rId35" ref="B17"/>
    <hyperlink r:id="rId36" ref="B18"/>
    <hyperlink r:id="rId37" ref="B19"/>
    <hyperlink r:id="rId38" ref="B20"/>
    <hyperlink r:id="rId39" ref="B21"/>
    <hyperlink r:id="rId40" ref="B22"/>
    <hyperlink r:id="rId41" ref="B23"/>
    <hyperlink r:id="rId42" ref="B24"/>
    <hyperlink r:id="rId43" ref="B25"/>
    <hyperlink r:id="rId44" ref="B26"/>
    <hyperlink r:id="rId45" ref="B27"/>
    <hyperlink r:id="rId46" ref="B28"/>
    <hyperlink r:id="rId47" ref="B29"/>
    <hyperlink r:id="rId48" ref="B31"/>
    <hyperlink r:id="rId49" ref="B32"/>
    <hyperlink r:id="rId50" ref="B33"/>
    <hyperlink r:id="rId51" ref="B34"/>
    <hyperlink r:id="rId52" ref="B35"/>
    <hyperlink r:id="rId53" ref="B36"/>
    <hyperlink r:id="rId54" ref="B37"/>
    <hyperlink r:id="rId55" ref="B38"/>
    <hyperlink r:id="rId56" ref="B39"/>
    <hyperlink r:id="rId57" ref="B40"/>
    <hyperlink r:id="rId58" ref="B41"/>
    <hyperlink r:id="rId59" ref="B42"/>
    <hyperlink r:id="rId60" ref="B43"/>
    <hyperlink r:id="rId61" ref="B44"/>
    <hyperlink r:id="rId62" ref="B45"/>
    <hyperlink r:id="rId63" ref="B47"/>
    <hyperlink r:id="rId64" ref="C47"/>
    <hyperlink r:id="rId65" ref="B48"/>
    <hyperlink r:id="rId66" ref="B49"/>
    <hyperlink r:id="rId67" ref="B50"/>
    <hyperlink r:id="rId68" ref="B52"/>
    <hyperlink r:id="rId69" ref="B53"/>
    <hyperlink r:id="rId70" ref="B54"/>
    <hyperlink r:id="rId71" ref="B55"/>
    <hyperlink r:id="rId72" ref="B57"/>
    <hyperlink r:id="rId73" ref="B59"/>
    <hyperlink r:id="rId74" ref="B61"/>
    <hyperlink r:id="rId75" ref="C61"/>
    <hyperlink r:id="rId76" ref="B62"/>
    <hyperlink r:id="rId77" ref="B63"/>
    <hyperlink r:id="rId78" ref="B64"/>
    <hyperlink r:id="rId79" ref="B65"/>
    <hyperlink r:id="rId80" ref="B66"/>
    <hyperlink r:id="rId81" ref="B67"/>
    <hyperlink r:id="rId82" ref="B68"/>
    <hyperlink r:id="rId83" ref="B71"/>
    <hyperlink r:id="rId84" ref="C71"/>
    <hyperlink r:id="rId85" ref="B72"/>
    <hyperlink r:id="rId86" ref="B73"/>
    <hyperlink r:id="rId87" ref="B74"/>
    <hyperlink r:id="rId88" ref="C74"/>
    <hyperlink r:id="rId89" ref="B77"/>
    <hyperlink r:id="rId90" ref="B79"/>
    <hyperlink r:id="rId91" ref="C79"/>
    <hyperlink r:id="rId92" ref="B82"/>
    <hyperlink r:id="rId93" ref="B83"/>
    <hyperlink r:id="rId94" ref="B84"/>
    <hyperlink r:id="rId95" ref="B90"/>
    <hyperlink r:id="rId96" ref="C90"/>
    <hyperlink r:id="rId97" ref="B91"/>
    <hyperlink r:id="rId98" ref="B92"/>
    <hyperlink r:id="rId99" ref="C92"/>
    <hyperlink r:id="rId100" ref="B93"/>
    <hyperlink r:id="rId101" ref="C93"/>
    <hyperlink r:id="rId102" ref="B94"/>
    <hyperlink r:id="rId103" ref="B95"/>
    <hyperlink r:id="rId104" ref="B96"/>
    <hyperlink r:id="rId105" ref="C96"/>
    <hyperlink r:id="rId106" ref="B97"/>
    <hyperlink r:id="rId107" ref="B98"/>
    <hyperlink r:id="rId108" location="formSeriesList" ref="B99"/>
    <hyperlink r:id="rId109" ref="C99"/>
    <hyperlink r:id="rId110" ref="B100"/>
    <hyperlink r:id="rId111" ref="B101"/>
    <hyperlink r:id="rId112" ref="B102"/>
    <hyperlink r:id="rId113" ref="C102"/>
    <hyperlink r:id="rId114" ref="B105"/>
    <hyperlink r:id="rId115" ref="B106"/>
    <hyperlink r:id="rId116" ref="B107"/>
    <hyperlink r:id="rId117" ref="B109"/>
    <hyperlink r:id="rId118" ref="B110"/>
    <hyperlink r:id="rId119" ref="B111"/>
    <hyperlink r:id="rId120" ref="B112"/>
    <hyperlink r:id="rId121" ref="B113"/>
    <hyperlink r:id="rId122" ref="B114"/>
    <hyperlink r:id="rId123" ref="C114"/>
    <hyperlink r:id="rId124" ref="B115"/>
    <hyperlink r:id="rId125" ref="B116"/>
    <hyperlink r:id="rId126" ref="C116"/>
    <hyperlink r:id="rId127" ref="B117"/>
    <hyperlink r:id="rId128" ref="C117"/>
    <hyperlink r:id="rId129" ref="B119"/>
    <hyperlink r:id="rId130" ref="B120"/>
    <hyperlink r:id="rId131" ref="B121"/>
    <hyperlink r:id="rId132" ref="B124"/>
    <hyperlink r:id="rId133" ref="B125"/>
    <hyperlink r:id="rId134" ref="C125"/>
    <hyperlink r:id="rId135" ref="B126"/>
    <hyperlink r:id="rId136" ref="B128"/>
    <hyperlink r:id="rId137" ref="C128"/>
    <hyperlink r:id="rId138" ref="B130"/>
    <hyperlink r:id="rId139" ref="B132"/>
    <hyperlink r:id="rId140" ref="C132"/>
    <hyperlink r:id="rId141" ref="B133"/>
    <hyperlink r:id="rId142" ref="B134"/>
    <hyperlink r:id="rId143" ref="C134"/>
    <hyperlink r:id="rId144" ref="B135"/>
    <hyperlink r:id="rId145" ref="C135"/>
    <hyperlink r:id="rId146" ref="B136"/>
    <hyperlink r:id="rId147" ref="C136"/>
    <hyperlink r:id="rId148" ref="B137"/>
    <hyperlink r:id="rId149" ref="C137"/>
  </hyperlinks>
  <drawing r:id="rId150"/>
  <legacyDrawing r:id="rId15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29.38"/>
    <col customWidth="1" min="3" max="3" width="14.5"/>
    <col customWidth="1" min="4" max="4" width="30.75"/>
    <col customWidth="1" min="5" max="6" width="62.5"/>
  </cols>
  <sheetData>
    <row r="1">
      <c r="A1" s="77" t="s">
        <v>16</v>
      </c>
      <c r="B1" s="77" t="s">
        <v>751</v>
      </c>
      <c r="C1" s="78" t="s">
        <v>752</v>
      </c>
      <c r="D1" s="78" t="s">
        <v>753</v>
      </c>
      <c r="E1" s="79" t="s">
        <v>754</v>
      </c>
      <c r="F1" s="79"/>
    </row>
    <row r="2">
      <c r="A2" s="80" t="s">
        <v>755</v>
      </c>
      <c r="B2" s="80" t="s">
        <v>756</v>
      </c>
      <c r="C2" s="81" t="s">
        <v>757</v>
      </c>
      <c r="D2" s="81" t="s">
        <v>758</v>
      </c>
      <c r="E2" s="82" t="s">
        <v>759</v>
      </c>
      <c r="F2" s="82" t="str">
        <f>IFERROR(__xludf.DUMMYFUNCTION("GOOGLETRANSLATE(E2)"),"Noise Comeback
Do you need a translation app for love?
Hello, Goblin
Her Bucket List
It's Okay for a Witch Not to Love
We've All Been Someone's First Love
The Boss is Two-Time
Sweet Salty
Contracted Love with the Devil
Ideal Relationship
Love Tailor Shop
"&amp;"Beneficial Pervert
Who's Your Future Husband?
Love and Wish
Is It Fun, Unrequited Love
Gyeonwoo and the Fairy
Pumpkin Time
The Breath of Yeomra
We Live Every Day
Beware of Your Boyfriend
Samgaksan Fairy Bath
Dating a Ghost Simulation")</f>
        <v>Noise Comeback
Do you need a translation app for love?
Hello, Goblin
Her Bucket List
It's Okay for a Witch Not to Love
We've All Been Someone's First Love
The Boss is Two-Time
Sweet Salty
Contracted Love with the Devil
Ideal Relationship
Love Tailor Shop
Beneficial Pervert
Who's Your Future Husband?
Love and Wish
Is It Fun, Unrequited Love
Gyeonwoo and the Fairy
Pumpkin Time
The Breath of Yeomra
We Live Every Day
Beware of Your Boyfriend
Samgaksan Fairy Bath
Dating a Ghost Simulation</v>
      </c>
    </row>
    <row r="3">
      <c r="A3" s="83" t="s">
        <v>760</v>
      </c>
      <c r="B3" s="83" t="s">
        <v>761</v>
      </c>
      <c r="C3" s="81" t="s">
        <v>762</v>
      </c>
      <c r="D3" s="81" t="s">
        <v>763</v>
      </c>
      <c r="E3" s="82" t="s">
        <v>166</v>
      </c>
      <c r="F3" s="82" t="str">
        <f>IFERROR(__xludf.DUMMYFUNCTION("GOOGLETRANSLATE(E3)"),"facial beautification department")</f>
        <v>facial beautification department</v>
      </c>
    </row>
    <row r="4">
      <c r="A4" s="83" t="s">
        <v>764</v>
      </c>
      <c r="B4" s="84" t="s">
        <v>765</v>
      </c>
      <c r="C4" s="81" t="s">
        <v>766</v>
      </c>
      <c r="D4" s="81" t="s">
        <v>767</v>
      </c>
      <c r="E4" s="82" t="s">
        <v>768</v>
      </c>
      <c r="F4" s="82" t="str">
        <f>IFERROR(__xludf.DUMMYFUNCTION("GOOGLETRANSLATE(E4)"),"Will You Marry Me
Protesting God
My Family's Idol
Smartphone Addict")</f>
        <v>Will You Marry Me
Protesting God
My Family's Idol
Smartphone Addict</v>
      </c>
    </row>
    <row r="5">
      <c r="A5" s="83" t="s">
        <v>769</v>
      </c>
      <c r="B5" s="83" t="s">
        <v>770</v>
      </c>
      <c r="C5" s="81" t="s">
        <v>771</v>
      </c>
      <c r="D5" s="81" t="s">
        <v>772</v>
      </c>
      <c r="E5" s="82" t="s">
        <v>773</v>
      </c>
      <c r="F5" s="82" t="str">
        <f>IFERROR(__xludf.DUMMYFUNCTION("GOOGLETRANSLATE(E5)"),"Shadow Beauty
Human Market
Coco Stew
Butterfly Human")</f>
        <v>Shadow Beauty
Human Market
Coco Stew
Butterfly Human</v>
      </c>
    </row>
    <row r="6">
      <c r="A6" s="83" t="s">
        <v>774</v>
      </c>
      <c r="B6" s="83" t="s">
        <v>775</v>
      </c>
      <c r="C6" s="81" t="s">
        <v>776</v>
      </c>
      <c r="D6" s="81" t="s">
        <v>777</v>
      </c>
      <c r="E6" s="85"/>
      <c r="F6" s="82" t="str">
        <f>IFERROR(__xludf.DUMMYFUNCTION("GOOGLETRANSLATE(E6)"),"#VALUE!")</f>
        <v>#VALUE!</v>
      </c>
    </row>
    <row r="7">
      <c r="A7" s="84" t="s">
        <v>778</v>
      </c>
      <c r="B7" s="83" t="s">
        <v>779</v>
      </c>
      <c r="C7" s="81" t="s">
        <v>780</v>
      </c>
      <c r="D7" s="81" t="s">
        <v>781</v>
      </c>
      <c r="E7" s="82" t="s">
        <v>782</v>
      </c>
      <c r="F7" s="82" t="str">
        <f>IFERROR(__xludf.DUMMYFUNCTION("GOOGLETRANSLATE(E7)"),"Big maknae! I still love you")</f>
        <v>Big maknae! I still love you</v>
      </c>
    </row>
    <row r="8">
      <c r="A8" s="83" t="s">
        <v>783</v>
      </c>
      <c r="B8" s="84" t="s">
        <v>784</v>
      </c>
      <c r="C8" s="81" t="s">
        <v>785</v>
      </c>
      <c r="D8" s="81" t="s">
        <v>786</v>
      </c>
      <c r="E8" s="82" t="s">
        <v>787</v>
      </c>
      <c r="F8" s="82" t="str">
        <f>IFERROR(__xludf.DUMMYFUNCTION("GOOGLETRANSLATE(E8)"),"Wizard
The Extreme")</f>
        <v>Wizard
The Extreme</v>
      </c>
    </row>
    <row r="9">
      <c r="A9" s="83" t="s">
        <v>788</v>
      </c>
      <c r="B9" s="83" t="s">
        <v>789</v>
      </c>
      <c r="C9" s="86" t="s">
        <v>790</v>
      </c>
      <c r="D9" s="81" t="s">
        <v>791</v>
      </c>
      <c r="E9" s="82" t="s">
        <v>792</v>
      </c>
      <c r="F9" s="82" t="str">
        <f>IFERROR(__xludf.DUMMYFUNCTION("GOOGLETRANSLATE(E9)"),"Change Me
Manager Kim Hates Idols
Face Genius, 0-Year-Old Top Star
1 Million Won Per Second")</f>
        <v>Change Me
Manager Kim Hates Idols
Face Genius, 0-Year-Old Top Star
1 Million Won Per Second</v>
      </c>
    </row>
    <row r="10">
      <c r="A10" s="83" t="s">
        <v>793</v>
      </c>
      <c r="B10" s="83" t="s">
        <v>794</v>
      </c>
      <c r="C10" s="81" t="s">
        <v>795</v>
      </c>
      <c r="D10" s="86" t="s">
        <v>796</v>
      </c>
      <c r="E10" s="82" t="s">
        <v>797</v>
      </c>
      <c r="F10" s="82" t="str">
        <f>IFERROR(__xludf.DUMMYFUNCTION("GOOGLETRANSLATE(E10)"),"Lily House
Bingyi
Mayago
Demoniac")</f>
        <v>Lily House
Bingyi
Mayago
Demoniac</v>
      </c>
    </row>
    <row r="11">
      <c r="A11" s="84" t="s">
        <v>798</v>
      </c>
      <c r="B11" s="83" t="s">
        <v>799</v>
      </c>
      <c r="C11" s="81" t="s">
        <v>800</v>
      </c>
      <c r="D11" s="81" t="s">
        <v>801</v>
      </c>
      <c r="E11" s="85"/>
      <c r="F11" s="82" t="str">
        <f>IFERROR(__xludf.DUMMYFUNCTION("GOOGLETRANSLATE(E11)"),"#VALUE!")</f>
        <v>#VALUE!</v>
      </c>
    </row>
    <row r="12">
      <c r="A12" s="83" t="s">
        <v>802</v>
      </c>
      <c r="B12" s="83" t="s">
        <v>803</v>
      </c>
      <c r="C12" s="81" t="s">
        <v>804</v>
      </c>
      <c r="D12" s="81" t="s">
        <v>805</v>
      </c>
      <c r="E12" s="82" t="s">
        <v>160</v>
      </c>
      <c r="F12" s="82" t="str">
        <f>IFERROR(__xludf.DUMMYFUNCTION("GOOGLETRANSLATE(E12)"),"round")</f>
        <v>round</v>
      </c>
    </row>
    <row r="13">
      <c r="A13" s="83" t="s">
        <v>806</v>
      </c>
      <c r="B13" s="83" t="s">
        <v>807</v>
      </c>
      <c r="C13" s="81" t="s">
        <v>808</v>
      </c>
      <c r="D13" s="81" t="s">
        <v>809</v>
      </c>
      <c r="E13" s="85"/>
      <c r="F13" s="82" t="str">
        <f>IFERROR(__xludf.DUMMYFUNCTION("GOOGLETRANSLATE(E13)"),"#VALUE!")</f>
        <v>#VALUE!</v>
      </c>
    </row>
    <row r="14">
      <c r="A14" s="87" t="s">
        <v>810</v>
      </c>
      <c r="B14" s="88" t="s">
        <v>811</v>
      </c>
      <c r="C14" s="81" t="s">
        <v>812</v>
      </c>
      <c r="D14" s="81" t="s">
        <v>813</v>
      </c>
      <c r="E14" s="85"/>
      <c r="F14" s="82" t="str">
        <f>IFERROR(__xludf.DUMMYFUNCTION("GOOGLETRANSLATE(E14)"),"#VALUE!")</f>
        <v>#VALUE!</v>
      </c>
    </row>
    <row r="15">
      <c r="A15" s="83"/>
      <c r="B15" s="83"/>
      <c r="C15" s="81"/>
      <c r="D15" s="81"/>
      <c r="E15" s="85"/>
      <c r="F15" s="85"/>
    </row>
    <row r="16">
      <c r="A16" s="83"/>
      <c r="B16" s="83"/>
      <c r="C16" s="81"/>
      <c r="D16" s="81"/>
      <c r="E16" s="85"/>
      <c r="F16" s="8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35.0"/>
    <col customWidth="1" min="3" max="3" width="62.5"/>
  </cols>
  <sheetData>
    <row r="1">
      <c r="A1" s="77" t="s">
        <v>16</v>
      </c>
      <c r="B1" s="77" t="s">
        <v>751</v>
      </c>
      <c r="C1" s="79" t="s">
        <v>754</v>
      </c>
    </row>
    <row r="2">
      <c r="A2" s="84" t="s">
        <v>814</v>
      </c>
      <c r="B2" s="84" t="s">
        <v>815</v>
      </c>
      <c r="C2" s="82" t="s">
        <v>816</v>
      </c>
    </row>
    <row r="3">
      <c r="A3" s="84" t="s">
        <v>817</v>
      </c>
      <c r="B3" s="84" t="s">
        <v>818</v>
      </c>
      <c r="C3" s="85"/>
    </row>
    <row r="4">
      <c r="A4" s="84" t="s">
        <v>819</v>
      </c>
      <c r="B4" s="84" t="s">
        <v>820</v>
      </c>
      <c r="C4" s="82" t="s">
        <v>315</v>
      </c>
    </row>
    <row r="5">
      <c r="A5" s="84" t="s">
        <v>821</v>
      </c>
      <c r="B5" s="84" t="s">
        <v>822</v>
      </c>
      <c r="C5" s="8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0.13"/>
    <col customWidth="1" min="2" max="2" width="61.25"/>
    <col customWidth="1" min="3" max="3" width="24.88"/>
  </cols>
  <sheetData>
    <row r="1">
      <c r="A1" s="89" t="s">
        <v>823</v>
      </c>
      <c r="B1" s="90" t="s">
        <v>824</v>
      </c>
      <c r="C1" s="90" t="s">
        <v>825</v>
      </c>
    </row>
    <row r="2">
      <c r="A2" s="13" t="s">
        <v>18</v>
      </c>
      <c r="B2" s="91" t="s">
        <v>826</v>
      </c>
      <c r="C2" s="92" t="s">
        <v>21</v>
      </c>
    </row>
    <row r="3">
      <c r="A3" s="13" t="s">
        <v>28</v>
      </c>
      <c r="B3" s="91" t="s">
        <v>827</v>
      </c>
      <c r="C3" s="93" t="s">
        <v>31</v>
      </c>
    </row>
    <row r="4">
      <c r="A4" s="13" t="s">
        <v>36</v>
      </c>
      <c r="B4" s="91" t="s">
        <v>828</v>
      </c>
      <c r="C4" s="93" t="s">
        <v>39</v>
      </c>
    </row>
    <row r="5">
      <c r="A5" s="13" t="s">
        <v>45</v>
      </c>
      <c r="B5" s="91" t="s">
        <v>829</v>
      </c>
      <c r="C5" s="93" t="s">
        <v>48</v>
      </c>
    </row>
    <row r="6">
      <c r="A6" s="13" t="s">
        <v>52</v>
      </c>
      <c r="B6" s="91" t="s">
        <v>830</v>
      </c>
      <c r="C6" s="93" t="s">
        <v>55</v>
      </c>
    </row>
    <row r="7">
      <c r="A7" s="13" t="s">
        <v>61</v>
      </c>
      <c r="B7" s="94" t="s">
        <v>831</v>
      </c>
      <c r="C7" s="95" t="s">
        <v>832</v>
      </c>
    </row>
    <row r="8">
      <c r="A8" s="13" t="s">
        <v>68</v>
      </c>
      <c r="B8" s="91" t="s">
        <v>833</v>
      </c>
      <c r="C8" s="93" t="s">
        <v>71</v>
      </c>
    </row>
    <row r="9">
      <c r="A9" s="13" t="s">
        <v>76</v>
      </c>
      <c r="B9" s="91" t="s">
        <v>834</v>
      </c>
      <c r="C9" s="93" t="s">
        <v>79</v>
      </c>
    </row>
    <row r="10">
      <c r="A10" s="13" t="s">
        <v>84</v>
      </c>
      <c r="B10" s="94" t="s">
        <v>835</v>
      </c>
      <c r="C10" s="93" t="s">
        <v>87</v>
      </c>
    </row>
    <row r="11">
      <c r="A11" s="13" t="s">
        <v>93</v>
      </c>
      <c r="B11" s="91" t="s">
        <v>836</v>
      </c>
      <c r="C11" s="93" t="s">
        <v>96</v>
      </c>
    </row>
    <row r="12">
      <c r="A12" s="13" t="s">
        <v>101</v>
      </c>
      <c r="B12" s="91" t="s">
        <v>837</v>
      </c>
      <c r="C12" s="96" t="s">
        <v>103</v>
      </c>
    </row>
  </sheetData>
  <conditionalFormatting sqref="B1:B12">
    <cfRule type="notContainsBlanks" dxfId="0" priority="1">
      <formula>LEN(TRIM(B1))&gt;0</formula>
    </cfRule>
  </conditionalFormatting>
  <hyperlinks>
    <hyperlink r:id="rId1" ref="B2"/>
    <hyperlink r:id="rId2" ref="B3"/>
    <hyperlink r:id="rId3" ref="C3"/>
    <hyperlink r:id="rId4" ref="B4"/>
    <hyperlink r:id="rId5" ref="C4"/>
    <hyperlink r:id="rId6" ref="B5"/>
    <hyperlink r:id="rId7" ref="C5"/>
    <hyperlink r:id="rId8" ref="B6"/>
    <hyperlink r:id="rId9" ref="C6"/>
    <hyperlink r:id="rId10" ref="B7"/>
    <hyperlink r:id="rId11" ref="B8"/>
    <hyperlink r:id="rId12" ref="C8"/>
    <hyperlink r:id="rId13" ref="B9"/>
    <hyperlink r:id="rId14" ref="C9"/>
    <hyperlink r:id="rId15" ref="B10"/>
    <hyperlink r:id="rId16" ref="C10"/>
    <hyperlink r:id="rId17" ref="B11"/>
    <hyperlink r:id="rId18" ref="C11"/>
    <hyperlink r:id="rId19" ref="B12"/>
  </hyperlinks>
  <drawing r:id="rId20"/>
</worksheet>
</file>